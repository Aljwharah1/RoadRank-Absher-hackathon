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عاصمه" sheetId="1" r:id="rId4"/>
    <sheet state="visible" name="القريات" sheetId="2" r:id="rId5"/>
    <sheet state="visible" name="المجموع الكلي" sheetId="3" r:id="rId6"/>
    <sheet state="visible" name="عسير" sheetId="4" r:id="rId7"/>
    <sheet state="visible" name="جازان" sheetId="5" r:id="rId8"/>
    <sheet state="visible" name="جده" sheetId="6" r:id="rId9"/>
    <sheet state="visible" name="الطائف" sheetId="7" r:id="rId10"/>
    <sheet state="visible" name="نجران" sheetId="8" r:id="rId11"/>
    <sheet state="visible" name="القصيم" sheetId="9" r:id="rId12"/>
    <sheet state="visible" name="الباحه" sheetId="10" r:id="rId13"/>
    <sheet state="visible" name="الرياض" sheetId="11" r:id="rId14"/>
    <sheet state="visible" name="المدينه المنوره" sheetId="12" r:id="rId15"/>
    <sheet state="visible" name="الشرقيه" sheetId="13" r:id="rId16"/>
    <sheet state="visible" name="الحدود الشماليه" sheetId="14" r:id="rId17"/>
    <sheet state="visible" name="تبوك" sheetId="15" r:id="rId18"/>
    <sheet state="visible" name="الجوف" sheetId="16" r:id="rId19"/>
    <sheet state="visible" name="حائل" sheetId="17" r:id="rId20"/>
  </sheets>
  <definedNames/>
  <calcPr/>
  <extLst>
    <ext uri="GoogleSheetsCustomDataVersion2">
      <go:sheetsCustomData xmlns:go="http://customooxmlschemas.google.com/" r:id="rId21" roundtripDataChecksum="SbFLY5DjM3wDlzUTtVhmn1pCQMXEAPa6BE/gJPdZ+PU="/>
    </ext>
  </extLst>
</workbook>
</file>

<file path=xl/sharedStrings.xml><?xml version="1.0" encoding="utf-8"?>
<sst xmlns="http://schemas.openxmlformats.org/spreadsheetml/2006/main" count="1498" uniqueCount="99">
  <si>
    <t>السنه</t>
  </si>
  <si>
    <t>الشهر</t>
  </si>
  <si>
    <t>حادث تلفيات</t>
  </si>
  <si>
    <t>حادث اصابات</t>
  </si>
  <si>
    <t>حادث وفيات</t>
  </si>
  <si>
    <t xml:space="preserve"> مجموع عدد الحوادث</t>
  </si>
  <si>
    <t>السبت</t>
  </si>
  <si>
    <t>الا حد</t>
  </si>
  <si>
    <t>الاثنين</t>
  </si>
  <si>
    <t>الثلاثاء</t>
  </si>
  <si>
    <t>الا ربعاء</t>
  </si>
  <si>
    <t>الخميس</t>
  </si>
  <si>
    <t>الجمعة</t>
  </si>
  <si>
    <t>مجموع عدد الحوادث لجميع الأيام</t>
  </si>
  <si>
    <t>نهارا</t>
  </si>
  <si>
    <t>ليلا</t>
  </si>
  <si>
    <t>مجموع عدد الحوادث حسب الوقت</t>
  </si>
  <si>
    <t>داخل المدينة</t>
  </si>
  <si>
    <t>خارج المدينة</t>
  </si>
  <si>
    <t>مجموع عدد الحوادث حسب مكان الحادث</t>
  </si>
  <si>
    <t>صغيرة</t>
  </si>
  <si>
    <t>جيب</t>
  </si>
  <si>
    <t>حافلة</t>
  </si>
  <si>
    <t>ونيت</t>
  </si>
  <si>
    <t>نقل</t>
  </si>
  <si>
    <t>وايت</t>
  </si>
  <si>
    <t>اخرى</t>
  </si>
  <si>
    <t>مجموع عدد السيارات المشتركة في الحوادث حسب الطراز</t>
  </si>
  <si>
    <t>18+</t>
  </si>
  <si>
    <t>30+</t>
  </si>
  <si>
    <t>40+</t>
  </si>
  <si>
    <t>50+</t>
  </si>
  <si>
    <t>المجموع حسب العمر</t>
  </si>
  <si>
    <t xml:space="preserve">سعودي </t>
  </si>
  <si>
    <t>اجنبي</t>
  </si>
  <si>
    <t>المجموع حسب الجنسية</t>
  </si>
  <si>
    <t>متزوج</t>
  </si>
  <si>
    <t>اعزب</t>
  </si>
  <si>
    <t>المجموع حسب الحالة الاجتماعية</t>
  </si>
  <si>
    <t xml:space="preserve">متعلم </t>
  </si>
  <si>
    <t>امى</t>
  </si>
  <si>
    <t>المجموع حسب الحالة التعليمية</t>
  </si>
  <si>
    <t>نوع الرخصة خصوصى</t>
  </si>
  <si>
    <t>نوع الرخصة عمومى</t>
  </si>
  <si>
    <t xml:space="preserve">نوع الرخصة اليات </t>
  </si>
  <si>
    <t>نوع الرخصة دراجة</t>
  </si>
  <si>
    <t>السائق لا يحمل رخصة قيادة</t>
  </si>
  <si>
    <t>المجموع</t>
  </si>
  <si>
    <t xml:space="preserve">الرخصة سارية </t>
  </si>
  <si>
    <t>الرخصة منتهية</t>
  </si>
  <si>
    <t>تصادم مع سيارة</t>
  </si>
  <si>
    <t>تصادم مع جسم ثابت</t>
  </si>
  <si>
    <t>دهس مشاة</t>
  </si>
  <si>
    <t>دهس حيوان</t>
  </si>
  <si>
    <t>حريق</t>
  </si>
  <si>
    <t>انقلاب</t>
  </si>
  <si>
    <t>خروج عن الطريق</t>
  </si>
  <si>
    <t>أخرى</t>
  </si>
  <si>
    <t>توقف غير نظامى</t>
  </si>
  <si>
    <t>دوران غير نظامى</t>
  </si>
  <si>
    <t>تجاوز غير نظامى</t>
  </si>
  <si>
    <t>عدم التقيد بالاشارة</t>
  </si>
  <si>
    <t>السرعة الزائدة</t>
  </si>
  <si>
    <t>السائق تحت تأثير مخدر</t>
  </si>
  <si>
    <t>مجموع الحوادث حسب سبب الحادث</t>
  </si>
  <si>
    <t>عدد المصابين</t>
  </si>
  <si>
    <t>عدد المتوفين (القتلى)</t>
  </si>
  <si>
    <t>سليم</t>
  </si>
  <si>
    <t>مجموع الأشخاص المشمولين بالحوادث</t>
  </si>
  <si>
    <t>محرم</t>
  </si>
  <si>
    <t>صفر</t>
  </si>
  <si>
    <t>ربيع أول</t>
  </si>
  <si>
    <t>ربيع ثانى</t>
  </si>
  <si>
    <t>جمادى أول</t>
  </si>
  <si>
    <t>جمادى ثانى</t>
  </si>
  <si>
    <t>رجب</t>
  </si>
  <si>
    <t>شعبان</t>
  </si>
  <si>
    <t>رمضان</t>
  </si>
  <si>
    <t>شوال</t>
  </si>
  <si>
    <t>ذى القعدة</t>
  </si>
  <si>
    <t>ذى الحجة</t>
  </si>
  <si>
    <t>المجموع النهائي</t>
  </si>
  <si>
    <t>ا لـشـهـر</t>
  </si>
  <si>
    <t>1436هـ</t>
  </si>
  <si>
    <t>إجمالى عــد د الحوادث موزعة حسب اليوم</t>
  </si>
  <si>
    <t xml:space="preserve"> إجمالى عدد الحوادث موزعة حسب وقت الحادث</t>
  </si>
  <si>
    <t xml:space="preserve"> إجمالى عـدد الحوادث موزعة حسب مكان الحادث</t>
  </si>
  <si>
    <t xml:space="preserve"> إجمالى عدد السيارات المشتركة في الحوادث حسب الطراز </t>
  </si>
  <si>
    <t>العمر</t>
  </si>
  <si>
    <t>الجنسية</t>
  </si>
  <si>
    <t>الحالة الاجتماعية</t>
  </si>
  <si>
    <t>الحالة التعليمية</t>
  </si>
  <si>
    <t>نوع الرخص</t>
  </si>
  <si>
    <t>سريان الرخصة</t>
  </si>
  <si>
    <t>تصادم مع</t>
  </si>
  <si>
    <t>دهس</t>
  </si>
  <si>
    <t>تحليل اســباب الحادث</t>
  </si>
  <si>
    <t>الاشخاص المشمولين بالحوادث</t>
  </si>
  <si>
    <t>صـفـر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</si>
</sst>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2.0"/>
      <color theme="1"/>
      <name val="Arial"/>
    </font>
    <font>
      <b/>
      <sz val="16.0"/>
      <color theme="1"/>
      <name val="Arial"/>
    </font>
    <font>
      <b/>
      <sz val="10.0"/>
      <color theme="1"/>
      <name val="Arial"/>
    </font>
    <font>
      <b/>
      <sz val="16.0"/>
      <color rgb="FFFF0000"/>
      <name val="Arial"/>
    </font>
    <font>
      <b/>
      <sz val="12.0"/>
      <color rgb="FFFF0000"/>
      <name val="Arial"/>
    </font>
    <font>
      <b/>
      <color theme="1"/>
      <name val="Arial"/>
    </font>
    <font>
      <b/>
      <sz val="14.0"/>
      <color theme="1"/>
      <name val="Arial"/>
    </font>
    <font>
      <color theme="1"/>
      <name val="Arial"/>
      <scheme val="minor"/>
    </font>
    <font/>
    <font>
      <sz val="16.0"/>
      <color theme="1"/>
      <name val="Arial"/>
    </font>
    <font>
      <b/>
      <sz val="18.0"/>
      <color theme="1"/>
      <name val="Arial"/>
    </font>
    <font>
      <sz val="18.0"/>
      <color theme="1"/>
      <name val="Arial"/>
    </font>
    <font>
      <b/>
      <sz val="11.0"/>
      <color theme="1"/>
      <name val="Arial"/>
    </font>
    <font>
      <sz val="14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FFCC99"/>
        <bgColor rgb="FFFFCC99"/>
      </patternFill>
    </fill>
    <fill>
      <patternFill patternType="solid">
        <fgColor theme="8"/>
        <bgColor theme="8"/>
      </patternFill>
    </fill>
    <fill>
      <patternFill patternType="solid">
        <fgColor rgb="FFFFFF99"/>
        <bgColor rgb="FFFFFF99"/>
      </patternFill>
    </fill>
  </fills>
  <borders count="42">
    <border/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/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/>
    </border>
    <border>
      <left style="thick">
        <color rgb="FF000000"/>
      </left>
      <right style="thin">
        <color rgb="FF000000"/>
      </right>
      <top/>
      <bottom style="thick">
        <color rgb="FF000000"/>
      </bottom>
    </border>
    <border>
      <left style="thin">
        <color rgb="FF000000"/>
      </left>
      <right style="thick">
        <color rgb="FF000000"/>
      </right>
      <top/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thick">
        <color rgb="FF000000"/>
      </right>
      <top/>
      <bottom style="thick">
        <color rgb="FF000000"/>
      </bottom>
    </border>
    <border>
      <left style="thick">
        <color rgb="FF000000"/>
      </left>
      <right style="thin">
        <color rgb="FF000000"/>
      </right>
      <top/>
      <bottom/>
    </border>
    <border>
      <left/>
      <right style="thick">
        <color rgb="FF000000"/>
      </right>
      <top/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/>
    </border>
    <border>
      <left/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/>
      <bottom style="thick">
        <color rgb="FF000000"/>
      </bottom>
    </border>
    <border>
      <left style="thick">
        <color rgb="FF000000"/>
      </left>
      <right/>
      <top/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2" shrinkToFit="0" vertical="center" wrapText="1"/>
    </xf>
    <xf borderId="1" fillId="2" fontId="1" numFmtId="0" xfId="0" applyAlignment="1" applyBorder="1" applyFont="1">
      <alignment horizontal="center" readingOrder="2" shrinkToFit="0" vertical="center" wrapText="1"/>
    </xf>
    <xf borderId="2" fillId="2" fontId="1" numFmtId="0" xfId="0" applyAlignment="1" applyBorder="1" applyFont="1">
      <alignment horizontal="center" readingOrder="2" shrinkToFit="0" vertical="center" wrapText="1"/>
    </xf>
    <xf borderId="3" fillId="2" fontId="1" numFmtId="0" xfId="0" applyAlignment="1" applyBorder="1" applyFont="1">
      <alignment horizontal="center" readingOrder="2" shrinkToFit="0" vertical="center" wrapText="1"/>
    </xf>
    <xf borderId="4" fillId="2" fontId="2" numFmtId="0" xfId="0" applyAlignment="1" applyBorder="1" applyFont="1">
      <alignment horizontal="center" readingOrder="2" shrinkToFit="0" vertical="center" wrapText="1"/>
    </xf>
    <xf borderId="4" fillId="2" fontId="1" numFmtId="0" xfId="0" applyAlignment="1" applyBorder="1" applyFont="1">
      <alignment horizontal="center" readingOrder="2" shrinkToFit="0" vertical="center" wrapText="1"/>
    </xf>
    <xf borderId="5" fillId="2" fontId="1" numFmtId="0" xfId="0" applyAlignment="1" applyBorder="1" applyFont="1">
      <alignment horizontal="center" readingOrder="2" shrinkToFit="0" vertical="center" wrapText="1"/>
    </xf>
    <xf borderId="6" fillId="2" fontId="1" numFmtId="0" xfId="0" applyAlignment="1" applyBorder="1" applyFont="1">
      <alignment horizontal="right" readingOrder="2" shrinkToFit="0" vertical="center" wrapText="1"/>
    </xf>
    <xf borderId="7" fillId="2" fontId="1" numFmtId="0" xfId="0" applyAlignment="1" applyBorder="1" applyFont="1">
      <alignment horizontal="right" readingOrder="2" shrinkToFit="0" vertical="center" wrapText="1"/>
    </xf>
    <xf borderId="8" fillId="2" fontId="1" numFmtId="0" xfId="0" applyAlignment="1" applyBorder="1" applyFont="1">
      <alignment horizontal="right" readingOrder="2" shrinkToFit="0" vertical="center" wrapText="1"/>
    </xf>
    <xf borderId="9" fillId="2" fontId="1" numFmtId="0" xfId="0" applyAlignment="1" applyBorder="1" applyFont="1">
      <alignment horizontal="center" readingOrder="2" shrinkToFit="0" vertical="center" wrapText="1"/>
    </xf>
    <xf borderId="10" fillId="2" fontId="1" numFmtId="0" xfId="0" applyAlignment="1" applyBorder="1" applyFont="1">
      <alignment horizontal="center" readingOrder="2" shrinkToFit="0" vertical="center" wrapText="1"/>
    </xf>
    <xf borderId="11" fillId="2" fontId="1" numFmtId="0" xfId="0" applyAlignment="1" applyBorder="1" applyFont="1">
      <alignment horizontal="right" readingOrder="2" shrinkToFit="0" vertical="center" wrapText="1"/>
    </xf>
    <xf borderId="12" fillId="2" fontId="1" numFmtId="0" xfId="0" applyAlignment="1" applyBorder="1" applyFont="1">
      <alignment horizontal="right" readingOrder="2" shrinkToFit="0" vertical="center" wrapText="1"/>
    </xf>
    <xf borderId="13" fillId="2" fontId="1" numFmtId="0" xfId="0" applyAlignment="1" applyBorder="1" applyFont="1">
      <alignment horizontal="right" readingOrder="2" shrinkToFit="0" vertical="center" wrapText="1"/>
    </xf>
    <xf borderId="14" fillId="2" fontId="1" numFmtId="0" xfId="0" applyAlignment="1" applyBorder="1" applyFont="1">
      <alignment horizontal="center" readingOrder="2" shrinkToFit="0" vertical="center" wrapText="1"/>
    </xf>
    <xf borderId="15" fillId="2" fontId="1" numFmtId="0" xfId="0" applyAlignment="1" applyBorder="1" applyFont="1">
      <alignment horizontal="center" readingOrder="2" shrinkToFit="0" vertical="center" wrapText="1"/>
    </xf>
    <xf borderId="16" fillId="2" fontId="1" numFmtId="0" xfId="0" applyAlignment="1" applyBorder="1" applyFont="1">
      <alignment horizontal="center" readingOrder="2" shrinkToFit="0" vertical="center" wrapText="1"/>
    </xf>
    <xf borderId="17" fillId="2" fontId="1" numFmtId="0" xfId="0" applyAlignment="1" applyBorder="1" applyFont="1">
      <alignment horizontal="center" readingOrder="2" shrinkToFit="0" vertical="center" wrapText="1"/>
    </xf>
    <xf borderId="18" fillId="2" fontId="2" numFmtId="0" xfId="0" applyAlignment="1" applyBorder="1" applyFont="1">
      <alignment horizontal="center" readingOrder="2" shrinkToFit="0" vertical="center" wrapText="1"/>
    </xf>
    <xf borderId="16" fillId="2" fontId="3" numFmtId="0" xfId="0" applyAlignment="1" applyBorder="1" applyFont="1">
      <alignment horizontal="center" readingOrder="2" shrinkToFit="0" vertical="center" wrapText="1"/>
    </xf>
    <xf borderId="19" fillId="2" fontId="1" numFmtId="0" xfId="0" applyAlignment="1" applyBorder="1" applyFont="1">
      <alignment horizontal="center" readingOrder="2" shrinkToFit="0" vertical="center" wrapText="1"/>
    </xf>
    <xf borderId="0" fillId="3" fontId="1" numFmtId="0" xfId="0" applyAlignment="1" applyFill="1" applyFont="1">
      <alignment horizontal="center" readingOrder="2" shrinkToFit="0" vertical="center" wrapText="0"/>
    </xf>
    <xf borderId="14" fillId="3" fontId="1" numFmtId="0" xfId="0" applyAlignment="1" applyBorder="1" applyFont="1">
      <alignment horizontal="center" readingOrder="2" shrinkToFit="0" vertical="center" wrapText="0"/>
    </xf>
    <xf borderId="20" fillId="0" fontId="1" numFmtId="0" xfId="0" applyAlignment="1" applyBorder="1" applyFont="1">
      <alignment horizontal="center" readingOrder="2" shrinkToFit="0" vertical="center" wrapText="0"/>
    </xf>
    <xf borderId="21" fillId="0" fontId="1" numFmtId="0" xfId="0" applyAlignment="1" applyBorder="1" applyFont="1">
      <alignment horizontal="center" readingOrder="2" shrinkToFit="0" vertical="center" wrapText="0"/>
    </xf>
    <xf borderId="22" fillId="0" fontId="1" numFmtId="0" xfId="0" applyAlignment="1" applyBorder="1" applyFont="1">
      <alignment horizontal="center" readingOrder="2" shrinkToFit="0" vertical="center" wrapText="0"/>
    </xf>
    <xf borderId="23" fillId="3" fontId="2" numFmtId="0" xfId="0" applyAlignment="1" applyBorder="1" applyFont="1">
      <alignment horizontal="center" readingOrder="2" shrinkToFit="0" vertical="center" wrapText="0"/>
    </xf>
    <xf borderId="24" fillId="3" fontId="1" numFmtId="0" xfId="0" applyAlignment="1" applyBorder="1" applyFont="1">
      <alignment horizontal="center" readingOrder="2" shrinkToFit="0" vertical="center" wrapText="0"/>
    </xf>
    <xf borderId="25" fillId="0" fontId="1" numFmtId="0" xfId="0" applyAlignment="1" applyBorder="1" applyFont="1">
      <alignment horizontal="center" readingOrder="2" shrinkToFit="0" vertical="center" wrapText="0"/>
    </xf>
    <xf borderId="26" fillId="0" fontId="1" numFmtId="0" xfId="0" applyAlignment="1" applyBorder="1" applyFont="1">
      <alignment horizontal="center" readingOrder="2" shrinkToFit="0" vertical="center" wrapText="0"/>
    </xf>
    <xf borderId="25" fillId="0" fontId="2" numFmtId="0" xfId="0" applyAlignment="1" applyBorder="1" applyFont="1">
      <alignment horizontal="center" readingOrder="2" shrinkToFit="0" vertical="center" wrapText="0"/>
    </xf>
    <xf borderId="27" fillId="0" fontId="1" numFmtId="0" xfId="0" applyAlignment="1" applyBorder="1" applyFont="1">
      <alignment horizontal="center" readingOrder="2" shrinkToFit="0" vertical="center" wrapText="0"/>
    </xf>
    <xf borderId="14" fillId="3" fontId="3" numFmtId="0" xfId="0" applyAlignment="1" applyBorder="1" applyFont="1">
      <alignment horizontal="center" readingOrder="2" shrinkToFit="0" vertical="center" wrapText="0"/>
    </xf>
    <xf borderId="28" fillId="0" fontId="1" numFmtId="0" xfId="0" applyAlignment="1" applyBorder="1" applyFont="1">
      <alignment horizontal="center" readingOrder="2" shrinkToFit="0" vertical="center" wrapText="0"/>
    </xf>
    <xf borderId="29" fillId="0" fontId="1" numFmtId="0" xfId="0" applyAlignment="1" applyBorder="1" applyFont="1">
      <alignment horizontal="center" readingOrder="2" shrinkToFit="0" vertical="center" wrapText="0"/>
    </xf>
    <xf borderId="30" fillId="0" fontId="1" numFmtId="0" xfId="0" applyAlignment="1" applyBorder="1" applyFont="1">
      <alignment horizontal="center" readingOrder="2" shrinkToFit="0" vertical="center" wrapText="0"/>
    </xf>
    <xf borderId="31" fillId="3" fontId="1" numFmtId="0" xfId="0" applyAlignment="1" applyBorder="1" applyFont="1">
      <alignment horizontal="center" readingOrder="2" shrinkToFit="0" vertical="center" wrapText="0"/>
    </xf>
    <xf borderId="29" fillId="0" fontId="2" numFmtId="0" xfId="0" applyAlignment="1" applyBorder="1" applyFont="1">
      <alignment horizontal="center" readingOrder="2" shrinkToFit="0" vertical="center" wrapText="0"/>
    </xf>
    <xf borderId="32" fillId="3" fontId="1" numFmtId="0" xfId="0" applyAlignment="1" applyBorder="1" applyFont="1">
      <alignment horizontal="center" readingOrder="2" shrinkToFit="0" vertical="center" wrapText="0"/>
    </xf>
    <xf borderId="33" fillId="3" fontId="1" numFmtId="0" xfId="0" applyAlignment="1" applyBorder="1" applyFont="1">
      <alignment horizontal="center" readingOrder="2" shrinkToFit="0" vertical="center" wrapText="0"/>
    </xf>
    <xf borderId="14" fillId="3" fontId="2" numFmtId="0" xfId="0" applyAlignment="1" applyBorder="1" applyFont="1">
      <alignment horizontal="center" readingOrder="2" shrinkToFit="0" vertical="center" wrapText="0"/>
    </xf>
    <xf borderId="34" fillId="3" fontId="1" numFmtId="0" xfId="0" applyAlignment="1" applyBorder="1" applyFont="1">
      <alignment horizontal="center" readingOrder="2" shrinkToFit="0" vertical="center" wrapText="0"/>
    </xf>
    <xf borderId="35" fillId="3" fontId="1" numFmtId="0" xfId="0" applyAlignment="1" applyBorder="1" applyFont="1">
      <alignment horizontal="center" readingOrder="2" shrinkToFit="0" vertical="center" wrapText="0"/>
    </xf>
    <xf borderId="14" fillId="3" fontId="1" numFmtId="0" xfId="0" applyAlignment="1" applyBorder="1" applyFont="1">
      <alignment horizontal="center"/>
    </xf>
    <xf borderId="20" fillId="0" fontId="1" numFmtId="0" xfId="0" applyAlignment="1" applyBorder="1" applyFont="1">
      <alignment horizontal="center"/>
    </xf>
    <xf borderId="21" fillId="0" fontId="1" numFmtId="0" xfId="0" applyAlignment="1" applyBorder="1" applyFont="1">
      <alignment horizontal="center"/>
    </xf>
    <xf borderId="22" fillId="0" fontId="1" numFmtId="0" xfId="0" applyAlignment="1" applyBorder="1" applyFont="1">
      <alignment horizontal="center"/>
    </xf>
    <xf borderId="23" fillId="3" fontId="4" numFmtId="0" xfId="0" applyAlignment="1" applyBorder="1" applyFont="1">
      <alignment horizontal="center"/>
    </xf>
    <xf borderId="14" fillId="3" fontId="5" numFmtId="0" xfId="0" applyAlignment="1" applyBorder="1" applyFont="1">
      <alignment horizontal="center"/>
    </xf>
    <xf borderId="24" fillId="3" fontId="1" numFmtId="0" xfId="0" applyAlignment="1" applyBorder="1" applyFont="1">
      <alignment horizontal="center"/>
    </xf>
    <xf borderId="25" fillId="0" fontId="1" numFmtId="0" xfId="0" applyAlignment="1" applyBorder="1" applyFont="1">
      <alignment horizontal="center"/>
    </xf>
    <xf borderId="26" fillId="0" fontId="1" numFmtId="0" xfId="0" applyAlignment="1" applyBorder="1" applyFont="1">
      <alignment horizontal="center"/>
    </xf>
    <xf borderId="25" fillId="0" fontId="2" numFmtId="0" xfId="0" applyAlignment="1" applyBorder="1" applyFont="1">
      <alignment horizontal="center"/>
    </xf>
    <xf borderId="27" fillId="0" fontId="1" numFmtId="0" xfId="0" applyAlignment="1" applyBorder="1" applyFont="1">
      <alignment horizontal="center"/>
    </xf>
    <xf borderId="14" fillId="3" fontId="6" numFmtId="0" xfId="0" applyAlignment="1" applyBorder="1" applyFont="1">
      <alignment horizontal="center"/>
    </xf>
    <xf borderId="28" fillId="0" fontId="1" numFmtId="0" xfId="0" applyAlignment="1" applyBorder="1" applyFont="1">
      <alignment horizontal="center"/>
    </xf>
    <xf borderId="29" fillId="0" fontId="1" numFmtId="0" xfId="0" applyAlignment="1" applyBorder="1" applyFont="1">
      <alignment horizontal="center"/>
    </xf>
    <xf borderId="30" fillId="0" fontId="1" numFmtId="0" xfId="0" applyAlignment="1" applyBorder="1" applyFont="1">
      <alignment horizontal="center"/>
    </xf>
    <xf borderId="31" fillId="3" fontId="1" numFmtId="0" xfId="0" applyAlignment="1" applyBorder="1" applyFont="1">
      <alignment horizontal="center"/>
    </xf>
    <xf borderId="29" fillId="0" fontId="2" numFmtId="0" xfId="0" applyAlignment="1" applyBorder="1" applyFont="1">
      <alignment horizontal="center"/>
    </xf>
    <xf borderId="32" fillId="3" fontId="1" numFmtId="0" xfId="0" applyAlignment="1" applyBorder="1" applyFont="1">
      <alignment horizontal="center"/>
    </xf>
    <xf borderId="33" fillId="3" fontId="1" numFmtId="0" xfId="0" applyAlignment="1" applyBorder="1" applyFont="1">
      <alignment horizontal="center"/>
    </xf>
    <xf borderId="14" fillId="3" fontId="4" numFmtId="0" xfId="0" applyAlignment="1" applyBorder="1" applyFont="1">
      <alignment horizontal="center"/>
    </xf>
    <xf borderId="34" fillId="3" fontId="1" numFmtId="0" xfId="0" applyAlignment="1" applyBorder="1" applyFont="1">
      <alignment horizontal="center"/>
    </xf>
    <xf borderId="35" fillId="3" fontId="1" numFmtId="0" xfId="0" applyAlignment="1" applyBorder="1" applyFont="1">
      <alignment horizontal="center"/>
    </xf>
    <xf borderId="14" fillId="3" fontId="2" numFmtId="0" xfId="0" applyAlignment="1" applyBorder="1" applyFont="1">
      <alignment horizontal="center"/>
    </xf>
    <xf borderId="23" fillId="3" fontId="2" numFmtId="0" xfId="0" applyAlignment="1" applyBorder="1" applyFont="1">
      <alignment horizontal="center"/>
    </xf>
    <xf borderId="14" fillId="3" fontId="7" numFmtId="0" xfId="0" applyAlignment="1" applyBorder="1" applyFont="1">
      <alignment horizontal="center"/>
    </xf>
    <xf borderId="14" fillId="0" fontId="7" numFmtId="0" xfId="0" applyAlignment="1" applyBorder="1" applyFont="1">
      <alignment horizontal="center"/>
    </xf>
    <xf borderId="27" fillId="0" fontId="7" numFmtId="0" xfId="0" applyAlignment="1" applyBorder="1" applyFont="1">
      <alignment horizontal="center"/>
    </xf>
    <xf borderId="25" fillId="0" fontId="7" numFmtId="0" xfId="0" applyAlignment="1" applyBorder="1" applyFont="1">
      <alignment horizontal="center"/>
    </xf>
    <xf borderId="26" fillId="0" fontId="7" numFmtId="0" xfId="0" applyAlignment="1" applyBorder="1" applyFont="1">
      <alignment horizontal="center"/>
    </xf>
    <xf borderId="14" fillId="0" fontId="2" numFmtId="0" xfId="0" applyAlignment="1" applyBorder="1" applyFont="1">
      <alignment horizontal="center"/>
    </xf>
    <xf borderId="14" fillId="0" fontId="1" numFmtId="0" xfId="0" applyAlignment="1" applyBorder="1" applyFont="1">
      <alignment horizontal="center"/>
    </xf>
    <xf borderId="28" fillId="0" fontId="7" numFmtId="0" xfId="0" applyAlignment="1" applyBorder="1" applyFont="1">
      <alignment horizontal="center"/>
    </xf>
    <xf borderId="29" fillId="0" fontId="7" numFmtId="0" xfId="0" applyAlignment="1" applyBorder="1" applyFont="1">
      <alignment horizontal="center"/>
    </xf>
    <xf borderId="30" fillId="0" fontId="7" numFmtId="0" xfId="0" applyAlignment="1" applyBorder="1" applyFont="1">
      <alignment horizontal="center"/>
    </xf>
    <xf borderId="36" fillId="3" fontId="1" numFmtId="0" xfId="0" applyAlignment="1" applyBorder="1" applyFont="1">
      <alignment horizontal="center"/>
    </xf>
    <xf borderId="37" fillId="3" fontId="7" numFmtId="0" xfId="0" applyAlignment="1" applyBorder="1" applyFont="1">
      <alignment horizontal="center"/>
    </xf>
    <xf borderId="0" fillId="4" fontId="8" numFmtId="0" xfId="0" applyFill="1" applyFont="1"/>
    <xf borderId="14" fillId="4" fontId="1" numFmtId="0" xfId="0" applyAlignment="1" applyBorder="1" applyFont="1">
      <alignment horizontal="center" readingOrder="0" shrinkToFit="0" wrapText="1"/>
    </xf>
    <xf borderId="32" fillId="4" fontId="1" numFmtId="0" xfId="0" applyAlignment="1" applyBorder="1" applyFont="1">
      <alignment horizontal="center"/>
    </xf>
    <xf borderId="31" fillId="3" fontId="1" numFmtId="0" xfId="0" applyAlignment="1" applyBorder="1" applyFont="1">
      <alignment horizontal="right" readingOrder="2" shrinkToFit="0" vertical="center" wrapText="1"/>
    </xf>
    <xf borderId="38" fillId="3" fontId="1" numFmtId="0" xfId="0" applyAlignment="1" applyBorder="1" applyFont="1">
      <alignment horizontal="center" readingOrder="2" shrinkToFit="0" vertical="center" wrapText="1"/>
    </xf>
    <xf borderId="39" fillId="0" fontId="9" numFmtId="0" xfId="0" applyBorder="1" applyFont="1"/>
    <xf borderId="40" fillId="0" fontId="9" numFmtId="0" xfId="0" applyBorder="1" applyFont="1"/>
    <xf borderId="14" fillId="3" fontId="10" numFmtId="0" xfId="0" applyAlignment="1" applyBorder="1" applyFont="1">
      <alignment horizontal="right" readingOrder="2" shrinkToFit="0" vertical="center" wrapText="1"/>
    </xf>
    <xf borderId="14" fillId="3" fontId="1" numFmtId="0" xfId="0" applyAlignment="1" applyBorder="1" applyFont="1">
      <alignment horizontal="center" readingOrder="2" shrinkToFit="0" vertical="center" wrapText="1"/>
    </xf>
    <xf borderId="38" fillId="2" fontId="1" numFmtId="0" xfId="0" applyAlignment="1" applyBorder="1" applyFont="1">
      <alignment horizontal="center" readingOrder="2" shrinkToFit="0" vertical="center" wrapText="1"/>
    </xf>
    <xf borderId="38" fillId="2" fontId="11" numFmtId="0" xfId="0" applyAlignment="1" applyBorder="1" applyFont="1">
      <alignment horizontal="center" readingOrder="2" shrinkToFit="0" vertical="center" wrapText="1"/>
    </xf>
    <xf borderId="35" fillId="5" fontId="11" numFmtId="0" xfId="0" applyAlignment="1" applyBorder="1" applyFill="1" applyFont="1">
      <alignment horizontal="center" readingOrder="2" shrinkToFit="0" vertical="center" wrapText="0"/>
    </xf>
    <xf borderId="35" fillId="3" fontId="11" numFmtId="0" xfId="0" applyAlignment="1" applyBorder="1" applyFont="1">
      <alignment horizontal="center" readingOrder="2" shrinkToFit="0" vertical="center" wrapText="0"/>
    </xf>
    <xf borderId="35" fillId="5" fontId="1" numFmtId="0" xfId="0" applyAlignment="1" applyBorder="1" applyFont="1">
      <alignment horizontal="center" readingOrder="2" shrinkToFit="0" vertical="center" wrapText="0"/>
    </xf>
    <xf borderId="14" fillId="5" fontId="1" numFmtId="0" xfId="0" applyAlignment="1" applyBorder="1" applyFont="1">
      <alignment horizontal="center" readingOrder="2" shrinkToFit="0" vertical="center" wrapText="0"/>
    </xf>
    <xf borderId="14" fillId="5" fontId="12" numFmtId="0" xfId="0" applyAlignment="1" applyBorder="1" applyFont="1">
      <alignment horizontal="center" readingOrder="2" shrinkToFit="0" vertical="center" wrapText="0"/>
    </xf>
    <xf borderId="14" fillId="5" fontId="11" numFmtId="0" xfId="0" applyAlignment="1" applyBorder="1" applyFont="1">
      <alignment horizontal="center" readingOrder="2" shrinkToFit="0" vertical="center" wrapText="0"/>
    </xf>
    <xf borderId="14" fillId="3" fontId="11" numFmtId="0" xfId="0" applyAlignment="1" applyBorder="1" applyFont="1">
      <alignment horizontal="center" readingOrder="2" shrinkToFit="0" vertical="center" wrapText="0"/>
    </xf>
    <xf borderId="14" fillId="3" fontId="12" numFmtId="0" xfId="0" applyAlignment="1" applyBorder="1" applyFont="1">
      <alignment horizontal="center" readingOrder="2" shrinkToFit="0" vertical="center" wrapText="0"/>
    </xf>
    <xf borderId="14" fillId="3" fontId="13" numFmtId="0" xfId="0" applyAlignment="1" applyBorder="1" applyFont="1">
      <alignment horizontal="center" readingOrder="2" shrinkToFit="0" vertical="center" wrapText="0"/>
    </xf>
    <xf borderId="14" fillId="3" fontId="7" numFmtId="0" xfId="0" applyAlignment="1" applyBorder="1" applyFont="1">
      <alignment horizontal="center" readingOrder="2" shrinkToFit="0" vertical="center" wrapText="0"/>
    </xf>
    <xf borderId="41" fillId="3" fontId="1" numFmtId="0" xfId="0" applyAlignment="1" applyBorder="1" applyFont="1">
      <alignment horizontal="center" readingOrder="2" shrinkToFit="0" vertical="center" wrapText="0"/>
    </xf>
    <xf borderId="14" fillId="0" fontId="7" numFmtId="0" xfId="0" applyAlignment="1" applyBorder="1" applyFont="1">
      <alignment horizontal="center" readingOrder="2" shrinkToFit="0" vertical="center" wrapText="0"/>
    </xf>
    <xf borderId="27" fillId="0" fontId="7" numFmtId="0" xfId="0" applyAlignment="1" applyBorder="1" applyFont="1">
      <alignment horizontal="center" readingOrder="2" shrinkToFit="0" vertical="center" wrapText="0"/>
    </xf>
    <xf borderId="25" fillId="0" fontId="7" numFmtId="0" xfId="0" applyAlignment="1" applyBorder="1" applyFont="1">
      <alignment horizontal="center" readingOrder="2" shrinkToFit="0" vertical="center" wrapText="0"/>
    </xf>
    <xf borderId="26" fillId="0" fontId="7" numFmtId="0" xfId="0" applyAlignment="1" applyBorder="1" applyFont="1">
      <alignment horizontal="center" readingOrder="2" shrinkToFit="0" vertical="center" wrapText="0"/>
    </xf>
    <xf borderId="14" fillId="0" fontId="2" numFmtId="0" xfId="0" applyAlignment="1" applyBorder="1" applyFont="1">
      <alignment horizontal="center" readingOrder="2" shrinkToFit="0" vertical="center" wrapText="0"/>
    </xf>
    <xf borderId="14" fillId="0" fontId="1" numFmtId="0" xfId="0" applyAlignment="1" applyBorder="1" applyFont="1">
      <alignment horizontal="center" readingOrder="2" shrinkToFit="0" vertical="center" wrapText="0"/>
    </xf>
    <xf borderId="28" fillId="0" fontId="7" numFmtId="0" xfId="0" applyAlignment="1" applyBorder="1" applyFont="1">
      <alignment horizontal="center" readingOrder="2" shrinkToFit="0" vertical="center" wrapText="0"/>
    </xf>
    <xf borderId="29" fillId="0" fontId="7" numFmtId="0" xfId="0" applyAlignment="1" applyBorder="1" applyFont="1">
      <alignment horizontal="center" readingOrder="2" shrinkToFit="0" vertical="center" wrapText="0"/>
    </xf>
    <xf borderId="30" fillId="0" fontId="7" numFmtId="0" xfId="0" applyAlignment="1" applyBorder="1" applyFont="1">
      <alignment horizontal="center" readingOrder="2" shrinkToFit="0" vertical="center" wrapText="0"/>
    </xf>
    <xf borderId="36" fillId="3" fontId="1" numFmtId="0" xfId="0" applyAlignment="1" applyBorder="1" applyFont="1">
      <alignment horizontal="center" readingOrder="2" shrinkToFit="0" vertical="center" wrapText="0"/>
    </xf>
    <xf borderId="37" fillId="3" fontId="7" numFmtId="0" xfId="0" applyAlignment="1" applyBorder="1" applyFont="1">
      <alignment horizontal="center" readingOrder="2" shrinkToFit="0" vertical="center" wrapText="0"/>
    </xf>
    <xf borderId="20" fillId="0" fontId="2" numFmtId="0" xfId="0" applyAlignment="1" applyBorder="1" applyFont="1">
      <alignment horizontal="center" readingOrder="2" shrinkToFit="0" vertical="center" wrapText="0"/>
    </xf>
    <xf borderId="21" fillId="0" fontId="2" numFmtId="0" xfId="0" applyAlignment="1" applyBorder="1" applyFont="1">
      <alignment horizontal="center" readingOrder="2" shrinkToFit="0" vertical="center" wrapText="0"/>
    </xf>
    <xf borderId="22" fillId="0" fontId="2" numFmtId="0" xfId="0" applyAlignment="1" applyBorder="1" applyFont="1">
      <alignment horizontal="center" readingOrder="2" shrinkToFit="0" vertical="center" wrapText="0"/>
    </xf>
    <xf borderId="27" fillId="0" fontId="2" numFmtId="0" xfId="0" applyAlignment="1" applyBorder="1" applyFont="1">
      <alignment horizontal="center" readingOrder="2" shrinkToFit="0" vertical="center" wrapText="0"/>
    </xf>
    <xf borderId="26" fillId="0" fontId="2" numFmtId="0" xfId="0" applyAlignment="1" applyBorder="1" applyFont="1">
      <alignment horizontal="center" readingOrder="2" shrinkToFit="0" vertical="center" wrapText="0"/>
    </xf>
    <xf borderId="21" fillId="0" fontId="7" numFmtId="0" xfId="0" applyAlignment="1" applyBorder="1" applyFont="1">
      <alignment horizontal="center" readingOrder="2" shrinkToFit="0" vertical="center" wrapText="0"/>
    </xf>
    <xf borderId="22" fillId="0" fontId="7" numFmtId="0" xfId="0" applyAlignment="1" applyBorder="1" applyFont="1">
      <alignment horizontal="center" readingOrder="2" shrinkToFit="0" vertical="center" wrapText="0"/>
    </xf>
    <xf borderId="24" fillId="3" fontId="7" numFmtId="0" xfId="0" applyAlignment="1" applyBorder="1" applyFont="1">
      <alignment horizontal="center" readingOrder="2" shrinkToFit="0" vertical="center" wrapText="0"/>
    </xf>
    <xf borderId="25" fillId="0" fontId="14" numFmtId="0" xfId="0" applyAlignment="1" applyBorder="1" applyFont="1">
      <alignment horizontal="center" readingOrder="2" shrinkToFit="0" vertical="center" wrapText="0"/>
    </xf>
    <xf borderId="28" fillId="0" fontId="2" numFmtId="0" xfId="0" applyAlignment="1" applyBorder="1" applyFont="1">
      <alignment horizontal="center" readingOrder="2" shrinkToFit="0" vertical="center" wrapText="0"/>
    </xf>
    <xf borderId="30" fillId="0" fontId="2" numFmtId="0" xfId="0" applyAlignment="1" applyBorder="1" applyFont="1">
      <alignment horizontal="center" readingOrder="2" shrinkToFit="0" vertical="center" wrapText="0"/>
    </xf>
    <xf borderId="32" fillId="3" fontId="2" numFmtId="0" xfId="0" applyAlignment="1" applyBorder="1" applyFont="1">
      <alignment horizontal="center" readingOrder="2" shrinkToFit="0" vertical="center" wrapText="0"/>
    </xf>
    <xf borderId="33" fillId="3" fontId="2" numFmtId="0" xfId="0" applyAlignment="1" applyBorder="1" applyFont="1">
      <alignment horizontal="center" readingOrder="2" shrinkToFit="0" vertical="center" wrapText="0"/>
    </xf>
    <xf borderId="23" fillId="3" fontId="1" numFmtId="0" xfId="0" applyAlignment="1" applyBorder="1" applyFont="1">
      <alignment horizontal="center" readingOrder="2" shrinkToFit="0" vertical="center" wrapText="0"/>
    </xf>
    <xf borderId="23" fillId="3" fontId="7" numFmtId="0" xfId="0" applyAlignment="1" applyBorder="1" applyFont="1">
      <alignment horizontal="center" readingOrder="2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74" width="10.75"/>
  </cols>
  <sheetData>
    <row r="1" ht="124.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6" t="s">
        <v>13</v>
      </c>
      <c r="O1" s="2" t="s">
        <v>14</v>
      </c>
      <c r="P1" s="3" t="s">
        <v>15</v>
      </c>
      <c r="Q1" s="6" t="s">
        <v>16</v>
      </c>
      <c r="R1" s="2" t="s">
        <v>17</v>
      </c>
      <c r="S1" s="3" t="s">
        <v>18</v>
      </c>
      <c r="T1" s="6" t="s">
        <v>19</v>
      </c>
      <c r="U1" s="2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6" t="s">
        <v>27</v>
      </c>
      <c r="AC1" s="2">
        <v>-18.0</v>
      </c>
      <c r="AD1" s="3" t="s">
        <v>28</v>
      </c>
      <c r="AE1" s="3" t="s">
        <v>29</v>
      </c>
      <c r="AF1" s="3" t="s">
        <v>30</v>
      </c>
      <c r="AG1" s="3" t="s">
        <v>31</v>
      </c>
      <c r="AH1" s="6" t="s">
        <v>32</v>
      </c>
      <c r="AI1" s="2" t="s">
        <v>33</v>
      </c>
      <c r="AJ1" s="3" t="s">
        <v>34</v>
      </c>
      <c r="AK1" s="6" t="s">
        <v>35</v>
      </c>
      <c r="AL1" s="2" t="s">
        <v>36</v>
      </c>
      <c r="AM1" s="3" t="s">
        <v>37</v>
      </c>
      <c r="AN1" s="6" t="s">
        <v>38</v>
      </c>
      <c r="AO1" s="2" t="s">
        <v>39</v>
      </c>
      <c r="AP1" s="3" t="s">
        <v>40</v>
      </c>
      <c r="AQ1" s="6" t="s">
        <v>41</v>
      </c>
      <c r="AR1" s="2" t="s">
        <v>42</v>
      </c>
      <c r="AS1" s="3" t="s">
        <v>43</v>
      </c>
      <c r="AT1" s="3" t="s">
        <v>44</v>
      </c>
      <c r="AU1" s="3" t="s">
        <v>45</v>
      </c>
      <c r="AV1" s="7" t="s">
        <v>46</v>
      </c>
      <c r="AW1" s="8" t="s">
        <v>47</v>
      </c>
      <c r="AX1" s="9" t="s">
        <v>46</v>
      </c>
      <c r="AY1" s="3" t="s">
        <v>48</v>
      </c>
      <c r="AZ1" s="3" t="s">
        <v>49</v>
      </c>
      <c r="BA1" s="10" t="s">
        <v>47</v>
      </c>
      <c r="BB1" s="11" t="s">
        <v>50</v>
      </c>
      <c r="BC1" s="12" t="s">
        <v>51</v>
      </c>
      <c r="BD1" s="12" t="s">
        <v>52</v>
      </c>
      <c r="BE1" s="12" t="s">
        <v>53</v>
      </c>
      <c r="BF1" s="13" t="s">
        <v>54</v>
      </c>
      <c r="BG1" s="14" t="s">
        <v>55</v>
      </c>
      <c r="BH1" s="14" t="s">
        <v>56</v>
      </c>
      <c r="BI1" s="15" t="s">
        <v>57</v>
      </c>
      <c r="BJ1" s="16" t="s">
        <v>47</v>
      </c>
      <c r="BK1" s="16" t="s">
        <v>58</v>
      </c>
      <c r="BL1" s="17" t="s">
        <v>59</v>
      </c>
      <c r="BM1" s="18" t="s">
        <v>60</v>
      </c>
      <c r="BN1" s="18" t="s">
        <v>61</v>
      </c>
      <c r="BO1" s="18" t="s">
        <v>62</v>
      </c>
      <c r="BP1" s="18" t="s">
        <v>63</v>
      </c>
      <c r="BQ1" s="18" t="s">
        <v>26</v>
      </c>
      <c r="BR1" s="19" t="s">
        <v>64</v>
      </c>
      <c r="BS1" s="20" t="s">
        <v>65</v>
      </c>
      <c r="BT1" s="21" t="s">
        <v>66</v>
      </c>
      <c r="BU1" s="18" t="s">
        <v>67</v>
      </c>
      <c r="BV1" s="22" t="s">
        <v>68</v>
      </c>
    </row>
    <row r="2" ht="21.0" customHeight="1">
      <c r="A2" s="23">
        <v>1437.0</v>
      </c>
      <c r="B2" s="24" t="s">
        <v>69</v>
      </c>
      <c r="C2" s="25">
        <v>4405.0</v>
      </c>
      <c r="D2" s="26">
        <v>119.0</v>
      </c>
      <c r="E2" s="27">
        <v>55.0</v>
      </c>
      <c r="F2" s="28">
        <f t="shared" ref="F2:F13" si="1">SUM(C2:E2)</f>
        <v>4579</v>
      </c>
      <c r="G2" s="26">
        <v>650.0</v>
      </c>
      <c r="H2" s="26">
        <v>637.0</v>
      </c>
      <c r="I2" s="26">
        <v>616.0</v>
      </c>
      <c r="J2" s="26">
        <v>626.0</v>
      </c>
      <c r="K2" s="26">
        <v>705.0</v>
      </c>
      <c r="L2" s="26">
        <v>679.0</v>
      </c>
      <c r="M2" s="27">
        <v>666.0</v>
      </c>
      <c r="N2" s="24">
        <f t="shared" ref="N2:N27" si="2">G2+H2+I2+J2+K2+L2+M2</f>
        <v>4579</v>
      </c>
      <c r="O2" s="26">
        <v>2953.0</v>
      </c>
      <c r="P2" s="27">
        <v>1626.0</v>
      </c>
      <c r="Q2" s="24">
        <f t="shared" ref="Q2:Q13" si="3">SUM(O2:P2)</f>
        <v>4579</v>
      </c>
      <c r="R2" s="26">
        <v>3214.0</v>
      </c>
      <c r="S2" s="27">
        <v>1365.0</v>
      </c>
      <c r="T2" s="24">
        <f t="shared" ref="T2:T13" si="4">SUM(R2:S2)</f>
        <v>4579</v>
      </c>
      <c r="U2" s="26">
        <v>3844.0</v>
      </c>
      <c r="V2" s="26">
        <v>1827.0</v>
      </c>
      <c r="W2" s="26">
        <v>310.0</v>
      </c>
      <c r="X2" s="26">
        <v>1796.0</v>
      </c>
      <c r="Y2" s="26">
        <v>399.0</v>
      </c>
      <c r="Z2" s="26">
        <v>208.0</v>
      </c>
      <c r="AA2" s="27">
        <v>41.0</v>
      </c>
      <c r="AB2" s="24">
        <f t="shared" ref="AB2:AB13" si="5">SUM(U2:AA2)</f>
        <v>8425</v>
      </c>
      <c r="AC2" s="26">
        <v>364.0</v>
      </c>
      <c r="AD2" s="26">
        <v>2179.0</v>
      </c>
      <c r="AE2" s="26">
        <v>3220.0</v>
      </c>
      <c r="AF2" s="26">
        <v>2297.0</v>
      </c>
      <c r="AG2" s="26">
        <v>332.0</v>
      </c>
      <c r="AH2" s="24">
        <f t="shared" ref="AH2:AH13" si="6">SUM(AC2:AG2)</f>
        <v>8392</v>
      </c>
      <c r="AI2" s="26">
        <v>5346.0</v>
      </c>
      <c r="AJ2" s="26">
        <v>3046.0</v>
      </c>
      <c r="AK2" s="24">
        <f t="shared" ref="AK2:AK13" si="7">SUM(AI2:AJ2)</f>
        <v>8392</v>
      </c>
      <c r="AL2" s="26">
        <v>3849.0</v>
      </c>
      <c r="AM2" s="26">
        <v>4543.0</v>
      </c>
      <c r="AN2" s="24">
        <f t="shared" ref="AN2:AN13" si="8">SUM(AL2:AM2)</f>
        <v>8392</v>
      </c>
      <c r="AO2" s="26">
        <v>8292.0</v>
      </c>
      <c r="AP2" s="27">
        <v>100.0</v>
      </c>
      <c r="AQ2" s="24">
        <f t="shared" ref="AQ2:AQ13" si="9">SUM(AO2:AP2)</f>
        <v>8392</v>
      </c>
      <c r="AR2" s="26">
        <v>4145.0</v>
      </c>
      <c r="AS2" s="26">
        <v>3416.0</v>
      </c>
      <c r="AT2" s="26">
        <v>232.0</v>
      </c>
      <c r="AU2" s="26">
        <v>384.0</v>
      </c>
      <c r="AV2" s="27">
        <v>215.0</v>
      </c>
      <c r="AW2" s="24">
        <f>+AR2+AS2+AT2+AU2+AV2</f>
        <v>8392</v>
      </c>
      <c r="AX2" s="29">
        <f t="shared" ref="AX2:AX13" si="10">AV2</f>
        <v>215</v>
      </c>
      <c r="AY2" s="26">
        <v>7904.0</v>
      </c>
      <c r="AZ2" s="27">
        <v>273.0</v>
      </c>
      <c r="BA2" s="24">
        <f t="shared" ref="BA2:BA13" si="11">SUM(AX2:AZ2)</f>
        <v>8392</v>
      </c>
      <c r="BB2" s="30">
        <v>4229.0</v>
      </c>
      <c r="BC2" s="30">
        <v>79.0</v>
      </c>
      <c r="BD2" s="30">
        <v>37.0</v>
      </c>
      <c r="BE2" s="30">
        <v>3.0</v>
      </c>
      <c r="BF2" s="30">
        <v>0.0</v>
      </c>
      <c r="BG2" s="30">
        <v>43.0</v>
      </c>
      <c r="BH2" s="30">
        <v>113.0</v>
      </c>
      <c r="BI2" s="31">
        <v>75.0</v>
      </c>
      <c r="BJ2" s="24">
        <f t="shared" ref="BJ2:BJ13" si="12">SUM(BB2:BI2)</f>
        <v>4579</v>
      </c>
      <c r="BK2" s="30">
        <v>1166.0</v>
      </c>
      <c r="BL2" s="30">
        <v>370.0</v>
      </c>
      <c r="BM2" s="30">
        <v>460.0</v>
      </c>
      <c r="BN2" s="30">
        <v>1135.0</v>
      </c>
      <c r="BO2" s="30">
        <v>1416.0</v>
      </c>
      <c r="BP2" s="30">
        <v>0.0</v>
      </c>
      <c r="BQ2" s="31">
        <v>32.0</v>
      </c>
      <c r="BR2" s="24">
        <f t="shared" ref="BR2:BR13" si="13">SUM(BK2:BQ2)</f>
        <v>4579</v>
      </c>
      <c r="BS2" s="32">
        <v>237.0</v>
      </c>
      <c r="BT2" s="30">
        <v>82.0</v>
      </c>
      <c r="BU2" s="31">
        <v>8752.0</v>
      </c>
      <c r="BV2" s="24">
        <f t="shared" ref="BV2:BV13" si="14">SUM(BS2:BU2)</f>
        <v>9071</v>
      </c>
    </row>
    <row r="3" ht="21.0" customHeight="1">
      <c r="B3" s="24" t="s">
        <v>70</v>
      </c>
      <c r="C3" s="33">
        <v>4473.0</v>
      </c>
      <c r="D3" s="30">
        <v>111.0</v>
      </c>
      <c r="E3" s="31">
        <v>60.0</v>
      </c>
      <c r="F3" s="28">
        <f t="shared" si="1"/>
        <v>4644</v>
      </c>
      <c r="G3" s="30">
        <v>648.0</v>
      </c>
      <c r="H3" s="30">
        <v>647.0</v>
      </c>
      <c r="I3" s="30">
        <v>655.0</v>
      </c>
      <c r="J3" s="30">
        <v>655.0</v>
      </c>
      <c r="K3" s="30">
        <v>659.0</v>
      </c>
      <c r="L3" s="30">
        <v>692.0</v>
      </c>
      <c r="M3" s="31">
        <v>688.0</v>
      </c>
      <c r="N3" s="24">
        <f t="shared" si="2"/>
        <v>4644</v>
      </c>
      <c r="O3" s="30">
        <v>2572.0</v>
      </c>
      <c r="P3" s="31">
        <v>2072.0</v>
      </c>
      <c r="Q3" s="24">
        <f t="shared" si="3"/>
        <v>4644</v>
      </c>
      <c r="R3" s="30">
        <v>3009.0</v>
      </c>
      <c r="S3" s="31">
        <v>1635.0</v>
      </c>
      <c r="T3" s="24">
        <f t="shared" si="4"/>
        <v>4644</v>
      </c>
      <c r="U3" s="30">
        <v>3424.0</v>
      </c>
      <c r="V3" s="30">
        <v>1444.0</v>
      </c>
      <c r="W3" s="30">
        <v>298.0</v>
      </c>
      <c r="X3" s="30">
        <v>2583.0</v>
      </c>
      <c r="Y3" s="30">
        <v>598.0</v>
      </c>
      <c r="Z3" s="30">
        <v>311.0</v>
      </c>
      <c r="AA3" s="31">
        <v>142.0</v>
      </c>
      <c r="AB3" s="24">
        <f t="shared" si="5"/>
        <v>8800</v>
      </c>
      <c r="AC3" s="30">
        <v>320.0</v>
      </c>
      <c r="AD3" s="30">
        <v>2854.0</v>
      </c>
      <c r="AE3" s="30">
        <v>2227.0</v>
      </c>
      <c r="AF3" s="30">
        <v>2059.0</v>
      </c>
      <c r="AG3" s="30">
        <v>1191.0</v>
      </c>
      <c r="AH3" s="24">
        <f t="shared" si="6"/>
        <v>8651</v>
      </c>
      <c r="AI3" s="30">
        <v>5943.0</v>
      </c>
      <c r="AJ3" s="30">
        <v>2708.0</v>
      </c>
      <c r="AK3" s="24">
        <f t="shared" si="7"/>
        <v>8651</v>
      </c>
      <c r="AL3" s="30">
        <v>5831.0</v>
      </c>
      <c r="AM3" s="30">
        <v>2820.0</v>
      </c>
      <c r="AN3" s="24">
        <f t="shared" si="8"/>
        <v>8651</v>
      </c>
      <c r="AO3" s="30">
        <v>8551.0</v>
      </c>
      <c r="AP3" s="31">
        <v>100.0</v>
      </c>
      <c r="AQ3" s="24">
        <f t="shared" si="9"/>
        <v>8651</v>
      </c>
      <c r="AR3" s="30">
        <v>4251.0</v>
      </c>
      <c r="AS3" s="30">
        <v>3580.0</v>
      </c>
      <c r="AT3" s="30">
        <v>283.0</v>
      </c>
      <c r="AU3" s="30">
        <v>295.0</v>
      </c>
      <c r="AV3" s="31">
        <v>242.0</v>
      </c>
      <c r="AW3" s="24">
        <f t="shared" ref="AW3:AW13" si="15">SUM(AR3:AV3)</f>
        <v>8651</v>
      </c>
      <c r="AX3" s="29">
        <f t="shared" si="10"/>
        <v>242</v>
      </c>
      <c r="AY3" s="30">
        <v>7975.0</v>
      </c>
      <c r="AZ3" s="31">
        <v>434.0</v>
      </c>
      <c r="BA3" s="24">
        <f t="shared" si="11"/>
        <v>8651</v>
      </c>
      <c r="BB3" s="30">
        <v>4197.0</v>
      </c>
      <c r="BC3" s="30">
        <v>161.0</v>
      </c>
      <c r="BD3" s="30">
        <v>48.0</v>
      </c>
      <c r="BE3" s="30">
        <v>2.0</v>
      </c>
      <c r="BF3" s="30">
        <v>2.0</v>
      </c>
      <c r="BG3" s="30">
        <v>40.0</v>
      </c>
      <c r="BH3" s="30">
        <v>117.0</v>
      </c>
      <c r="BI3" s="31">
        <v>77.0</v>
      </c>
      <c r="BJ3" s="24">
        <f t="shared" si="12"/>
        <v>4644</v>
      </c>
      <c r="BK3" s="30">
        <v>775.0</v>
      </c>
      <c r="BL3" s="30">
        <v>852.0</v>
      </c>
      <c r="BM3" s="30">
        <v>314.0</v>
      </c>
      <c r="BN3" s="30">
        <v>1178.0</v>
      </c>
      <c r="BO3" s="30">
        <v>1402.0</v>
      </c>
      <c r="BP3" s="30">
        <v>0.0</v>
      </c>
      <c r="BQ3" s="31">
        <v>123.0</v>
      </c>
      <c r="BR3" s="24">
        <f t="shared" si="13"/>
        <v>4644</v>
      </c>
      <c r="BS3" s="32">
        <v>295.0</v>
      </c>
      <c r="BT3" s="30">
        <v>82.0</v>
      </c>
      <c r="BU3" s="31">
        <v>8665.0</v>
      </c>
      <c r="BV3" s="24">
        <f t="shared" si="14"/>
        <v>9042</v>
      </c>
    </row>
    <row r="4" ht="21.0" customHeight="1">
      <c r="B4" s="24" t="s">
        <v>71</v>
      </c>
      <c r="C4" s="33">
        <v>4628.0</v>
      </c>
      <c r="D4" s="30">
        <v>96.0</v>
      </c>
      <c r="E4" s="31">
        <v>64.0</v>
      </c>
      <c r="F4" s="28">
        <f t="shared" si="1"/>
        <v>4788</v>
      </c>
      <c r="G4" s="30">
        <v>838.0</v>
      </c>
      <c r="H4" s="30">
        <v>672.0</v>
      </c>
      <c r="I4" s="30">
        <v>632.0</v>
      </c>
      <c r="J4" s="30">
        <v>614.0</v>
      </c>
      <c r="K4" s="30">
        <v>659.0</v>
      </c>
      <c r="L4" s="30">
        <v>672.0</v>
      </c>
      <c r="M4" s="31">
        <v>701.0</v>
      </c>
      <c r="N4" s="24">
        <f t="shared" si="2"/>
        <v>4788</v>
      </c>
      <c r="O4" s="30">
        <v>3019.0</v>
      </c>
      <c r="P4" s="31">
        <v>1769.0</v>
      </c>
      <c r="Q4" s="24">
        <f t="shared" si="3"/>
        <v>4788</v>
      </c>
      <c r="R4" s="30">
        <v>3499.0</v>
      </c>
      <c r="S4" s="31">
        <v>1289.0</v>
      </c>
      <c r="T4" s="24">
        <f t="shared" si="4"/>
        <v>4788</v>
      </c>
      <c r="U4" s="30">
        <v>3694.0</v>
      </c>
      <c r="V4" s="30">
        <v>1387.0</v>
      </c>
      <c r="W4" s="30">
        <v>224.0</v>
      </c>
      <c r="X4" s="30">
        <v>3001.0</v>
      </c>
      <c r="Y4" s="30">
        <v>442.0</v>
      </c>
      <c r="Z4" s="30">
        <v>138.0</v>
      </c>
      <c r="AA4" s="31">
        <v>131.0</v>
      </c>
      <c r="AB4" s="24">
        <f t="shared" si="5"/>
        <v>9017</v>
      </c>
      <c r="AC4" s="30">
        <v>299.0</v>
      </c>
      <c r="AD4" s="30">
        <v>3004.0</v>
      </c>
      <c r="AE4" s="30">
        <v>2893.0</v>
      </c>
      <c r="AF4" s="30">
        <v>1755.0</v>
      </c>
      <c r="AG4" s="30">
        <v>995.0</v>
      </c>
      <c r="AH4" s="24">
        <f t="shared" si="6"/>
        <v>8946</v>
      </c>
      <c r="AI4" s="30">
        <v>6402.0</v>
      </c>
      <c r="AJ4" s="30">
        <v>2544.0</v>
      </c>
      <c r="AK4" s="24">
        <f t="shared" si="7"/>
        <v>8946</v>
      </c>
      <c r="AL4" s="30">
        <v>4643.0</v>
      </c>
      <c r="AM4" s="30">
        <v>4303.0</v>
      </c>
      <c r="AN4" s="24">
        <f t="shared" si="8"/>
        <v>8946</v>
      </c>
      <c r="AO4" s="30">
        <v>8846.0</v>
      </c>
      <c r="AP4" s="31">
        <v>100.0</v>
      </c>
      <c r="AQ4" s="24">
        <f t="shared" si="9"/>
        <v>8946</v>
      </c>
      <c r="AR4" s="30">
        <v>6358.0</v>
      </c>
      <c r="AS4" s="30">
        <v>2106.0</v>
      </c>
      <c r="AT4" s="30">
        <v>118.0</v>
      </c>
      <c r="AU4" s="30">
        <v>91.0</v>
      </c>
      <c r="AV4" s="31">
        <v>273.0</v>
      </c>
      <c r="AW4" s="24">
        <f t="shared" si="15"/>
        <v>8946</v>
      </c>
      <c r="AX4" s="29">
        <f t="shared" si="10"/>
        <v>273</v>
      </c>
      <c r="AY4" s="30">
        <v>8074.0</v>
      </c>
      <c r="AZ4" s="31">
        <v>599.0</v>
      </c>
      <c r="BA4" s="24">
        <f t="shared" si="11"/>
        <v>8946</v>
      </c>
      <c r="BB4" s="30">
        <v>4204.0</v>
      </c>
      <c r="BC4" s="30">
        <v>88.0</v>
      </c>
      <c r="BD4" s="30">
        <v>27.0</v>
      </c>
      <c r="BE4" s="30">
        <v>4.0</v>
      </c>
      <c r="BF4" s="30">
        <v>0.0</v>
      </c>
      <c r="BG4" s="30">
        <v>71.0</v>
      </c>
      <c r="BH4" s="30">
        <v>203.0</v>
      </c>
      <c r="BI4" s="31">
        <v>191.0</v>
      </c>
      <c r="BJ4" s="24">
        <f t="shared" si="12"/>
        <v>4788</v>
      </c>
      <c r="BK4" s="30">
        <v>211.0</v>
      </c>
      <c r="BL4" s="30">
        <v>968.0</v>
      </c>
      <c r="BM4" s="30">
        <v>107.0</v>
      </c>
      <c r="BN4" s="30">
        <v>1436.0</v>
      </c>
      <c r="BO4" s="30">
        <v>1163.0</v>
      </c>
      <c r="BP4" s="30">
        <v>0.0</v>
      </c>
      <c r="BQ4" s="31">
        <v>903.0</v>
      </c>
      <c r="BR4" s="24">
        <f t="shared" si="13"/>
        <v>4788</v>
      </c>
      <c r="BS4" s="32">
        <v>256.0</v>
      </c>
      <c r="BT4" s="30">
        <v>82.0</v>
      </c>
      <c r="BU4" s="31">
        <v>8963.0</v>
      </c>
      <c r="BV4" s="24">
        <f t="shared" si="14"/>
        <v>9301</v>
      </c>
    </row>
    <row r="5" ht="21.0" customHeight="1">
      <c r="B5" s="24" t="s">
        <v>72</v>
      </c>
      <c r="C5" s="33">
        <v>4647.0</v>
      </c>
      <c r="D5" s="30">
        <v>111.0</v>
      </c>
      <c r="E5" s="31">
        <v>83.0</v>
      </c>
      <c r="F5" s="28">
        <f t="shared" si="1"/>
        <v>4841</v>
      </c>
      <c r="G5" s="30">
        <v>628.0</v>
      </c>
      <c r="H5" s="30">
        <v>652.0</v>
      </c>
      <c r="I5" s="30">
        <v>778.0</v>
      </c>
      <c r="J5" s="30">
        <v>784.0</v>
      </c>
      <c r="K5" s="30">
        <v>648.0</v>
      </c>
      <c r="L5" s="30">
        <v>692.0</v>
      </c>
      <c r="M5" s="31">
        <v>659.0</v>
      </c>
      <c r="N5" s="24">
        <f t="shared" si="2"/>
        <v>4841</v>
      </c>
      <c r="O5" s="30">
        <v>3153.0</v>
      </c>
      <c r="P5" s="31">
        <v>1688.0</v>
      </c>
      <c r="Q5" s="24">
        <f t="shared" si="3"/>
        <v>4841</v>
      </c>
      <c r="R5" s="30">
        <v>3517.0</v>
      </c>
      <c r="S5" s="31">
        <v>1324.0</v>
      </c>
      <c r="T5" s="24">
        <f t="shared" si="4"/>
        <v>4841</v>
      </c>
      <c r="U5" s="30">
        <v>3305.0</v>
      </c>
      <c r="V5" s="30">
        <v>1694.0</v>
      </c>
      <c r="W5" s="30">
        <v>132.0</v>
      </c>
      <c r="X5" s="30">
        <v>2801.0</v>
      </c>
      <c r="Y5" s="30">
        <v>524.0</v>
      </c>
      <c r="Z5" s="30">
        <v>76.0</v>
      </c>
      <c r="AA5" s="31">
        <v>56.0</v>
      </c>
      <c r="AB5" s="24">
        <f t="shared" si="5"/>
        <v>8588</v>
      </c>
      <c r="AC5" s="30">
        <v>290.0</v>
      </c>
      <c r="AD5" s="30">
        <v>3345.0</v>
      </c>
      <c r="AE5" s="30">
        <v>2694.0</v>
      </c>
      <c r="AF5" s="30">
        <v>1543.0</v>
      </c>
      <c r="AG5" s="30">
        <v>592.0</v>
      </c>
      <c r="AH5" s="24">
        <f t="shared" si="6"/>
        <v>8464</v>
      </c>
      <c r="AI5" s="30">
        <v>5703.0</v>
      </c>
      <c r="AJ5" s="30">
        <v>2761.0</v>
      </c>
      <c r="AK5" s="24">
        <f t="shared" si="7"/>
        <v>8464</v>
      </c>
      <c r="AL5" s="30">
        <v>4804.0</v>
      </c>
      <c r="AM5" s="30">
        <v>3660.0</v>
      </c>
      <c r="AN5" s="24">
        <f t="shared" si="8"/>
        <v>8464</v>
      </c>
      <c r="AO5" s="30">
        <v>8314.0</v>
      </c>
      <c r="AP5" s="31">
        <v>150.0</v>
      </c>
      <c r="AQ5" s="24">
        <f t="shared" si="9"/>
        <v>8464</v>
      </c>
      <c r="AR5" s="30">
        <v>5787.0</v>
      </c>
      <c r="AS5" s="30">
        <v>2256.0</v>
      </c>
      <c r="AT5" s="30">
        <v>159.0</v>
      </c>
      <c r="AU5" s="30">
        <v>41.0</v>
      </c>
      <c r="AV5" s="31">
        <v>221.0</v>
      </c>
      <c r="AW5" s="24">
        <f t="shared" si="15"/>
        <v>8464</v>
      </c>
      <c r="AX5" s="29">
        <f t="shared" si="10"/>
        <v>221</v>
      </c>
      <c r="AY5" s="30">
        <v>7687.0</v>
      </c>
      <c r="AZ5" s="31">
        <v>556.0</v>
      </c>
      <c r="BA5" s="24">
        <f t="shared" si="11"/>
        <v>8464</v>
      </c>
      <c r="BB5" s="30">
        <v>4526.0</v>
      </c>
      <c r="BC5" s="30">
        <v>27.0</v>
      </c>
      <c r="BD5" s="30">
        <v>50.0</v>
      </c>
      <c r="BE5" s="30">
        <v>0.0</v>
      </c>
      <c r="BF5" s="30">
        <v>0.0</v>
      </c>
      <c r="BG5" s="30">
        <v>37.0</v>
      </c>
      <c r="BH5" s="30">
        <v>167.0</v>
      </c>
      <c r="BI5" s="31">
        <v>34.0</v>
      </c>
      <c r="BJ5" s="24">
        <f t="shared" si="12"/>
        <v>4841</v>
      </c>
      <c r="BK5" s="30">
        <v>748.0</v>
      </c>
      <c r="BL5" s="30">
        <v>988.0</v>
      </c>
      <c r="BM5" s="30">
        <v>324.0</v>
      </c>
      <c r="BN5" s="30">
        <v>101.0</v>
      </c>
      <c r="BO5" s="30">
        <v>794.0</v>
      </c>
      <c r="BP5" s="30">
        <v>0.0</v>
      </c>
      <c r="BQ5" s="31">
        <v>1886.0</v>
      </c>
      <c r="BR5" s="24">
        <f t="shared" si="13"/>
        <v>4841</v>
      </c>
      <c r="BS5" s="32">
        <v>314.0</v>
      </c>
      <c r="BT5" s="30">
        <v>95.0</v>
      </c>
      <c r="BU5" s="31">
        <v>8555.0</v>
      </c>
      <c r="BV5" s="24">
        <f t="shared" si="14"/>
        <v>8964</v>
      </c>
    </row>
    <row r="6" ht="21.0" customHeight="1">
      <c r="B6" s="34" t="s">
        <v>73</v>
      </c>
      <c r="C6" s="33">
        <v>4419.0</v>
      </c>
      <c r="D6" s="30">
        <v>81.0</v>
      </c>
      <c r="E6" s="31">
        <v>52.0</v>
      </c>
      <c r="F6" s="28">
        <f t="shared" si="1"/>
        <v>4552</v>
      </c>
      <c r="G6" s="30">
        <v>641.0</v>
      </c>
      <c r="H6" s="30">
        <v>634.0</v>
      </c>
      <c r="I6" s="30">
        <v>639.0</v>
      </c>
      <c r="J6" s="30">
        <v>640.0</v>
      </c>
      <c r="K6" s="30">
        <v>636.0</v>
      </c>
      <c r="L6" s="30">
        <v>680.0</v>
      </c>
      <c r="M6" s="31">
        <v>682.0</v>
      </c>
      <c r="N6" s="24">
        <f t="shared" si="2"/>
        <v>4552</v>
      </c>
      <c r="O6" s="30">
        <v>2379.0</v>
      </c>
      <c r="P6" s="31">
        <v>2173.0</v>
      </c>
      <c r="Q6" s="24">
        <f t="shared" si="3"/>
        <v>4552</v>
      </c>
      <c r="R6" s="30">
        <v>2378.0</v>
      </c>
      <c r="S6" s="31">
        <v>2174.0</v>
      </c>
      <c r="T6" s="24">
        <f t="shared" si="4"/>
        <v>4552</v>
      </c>
      <c r="U6" s="30">
        <v>3526.0</v>
      </c>
      <c r="V6" s="30">
        <v>2399.0</v>
      </c>
      <c r="W6" s="30">
        <v>129.0</v>
      </c>
      <c r="X6" s="30">
        <v>1826.0</v>
      </c>
      <c r="Y6" s="30">
        <v>314.0</v>
      </c>
      <c r="Z6" s="30">
        <v>177.0</v>
      </c>
      <c r="AA6" s="31">
        <v>43.0</v>
      </c>
      <c r="AB6" s="24">
        <f t="shared" si="5"/>
        <v>8414</v>
      </c>
      <c r="AC6" s="30">
        <v>300.0</v>
      </c>
      <c r="AD6" s="30">
        <v>2152.0</v>
      </c>
      <c r="AE6" s="30">
        <v>3224.0</v>
      </c>
      <c r="AF6" s="30">
        <v>2429.0</v>
      </c>
      <c r="AG6" s="30">
        <v>309.0</v>
      </c>
      <c r="AH6" s="24">
        <f t="shared" si="6"/>
        <v>8414</v>
      </c>
      <c r="AI6" s="30">
        <v>5169.0</v>
      </c>
      <c r="AJ6" s="30">
        <v>3245.0</v>
      </c>
      <c r="AK6" s="24">
        <f t="shared" si="7"/>
        <v>8414</v>
      </c>
      <c r="AL6" s="30">
        <v>5300.0</v>
      </c>
      <c r="AM6" s="30">
        <v>3114.0</v>
      </c>
      <c r="AN6" s="24">
        <f t="shared" si="8"/>
        <v>8414</v>
      </c>
      <c r="AO6" s="30">
        <v>8200.0</v>
      </c>
      <c r="AP6" s="31">
        <v>214.0</v>
      </c>
      <c r="AQ6" s="24">
        <f t="shared" si="9"/>
        <v>8414</v>
      </c>
      <c r="AR6" s="30">
        <v>4407.0</v>
      </c>
      <c r="AS6" s="30">
        <v>2940.0</v>
      </c>
      <c r="AT6" s="30">
        <v>181.0</v>
      </c>
      <c r="AU6" s="30">
        <v>670.0</v>
      </c>
      <c r="AV6" s="31">
        <v>216.0</v>
      </c>
      <c r="AW6" s="24">
        <f t="shared" si="15"/>
        <v>8414</v>
      </c>
      <c r="AX6" s="29">
        <f t="shared" si="10"/>
        <v>216</v>
      </c>
      <c r="AY6" s="30">
        <v>7569.0</v>
      </c>
      <c r="AZ6" s="31">
        <v>629.0</v>
      </c>
      <c r="BA6" s="24">
        <f t="shared" si="11"/>
        <v>8414</v>
      </c>
      <c r="BB6" s="30">
        <v>4445.0</v>
      </c>
      <c r="BC6" s="30">
        <v>12.0</v>
      </c>
      <c r="BD6" s="30">
        <v>40.0</v>
      </c>
      <c r="BE6" s="30">
        <v>1.0</v>
      </c>
      <c r="BF6" s="30">
        <v>1.0</v>
      </c>
      <c r="BG6" s="30">
        <v>26.0</v>
      </c>
      <c r="BH6" s="30">
        <v>8.0</v>
      </c>
      <c r="BI6" s="31">
        <v>19.0</v>
      </c>
      <c r="BJ6" s="24">
        <f t="shared" si="12"/>
        <v>4552</v>
      </c>
      <c r="BK6" s="30">
        <v>1411.0</v>
      </c>
      <c r="BL6" s="30">
        <v>1368.0</v>
      </c>
      <c r="BM6" s="30">
        <v>615.0</v>
      </c>
      <c r="BN6" s="30">
        <v>270.0</v>
      </c>
      <c r="BO6" s="30">
        <v>676.0</v>
      </c>
      <c r="BP6" s="30">
        <v>0.0</v>
      </c>
      <c r="BQ6" s="31">
        <v>212.0</v>
      </c>
      <c r="BR6" s="24">
        <f t="shared" si="13"/>
        <v>4552</v>
      </c>
      <c r="BS6" s="32">
        <v>191.0</v>
      </c>
      <c r="BT6" s="30">
        <v>67.0</v>
      </c>
      <c r="BU6" s="31">
        <v>8263.0</v>
      </c>
      <c r="BV6" s="24">
        <f t="shared" si="14"/>
        <v>8521</v>
      </c>
    </row>
    <row r="7" ht="21.0" customHeight="1">
      <c r="B7" s="34" t="s">
        <v>74</v>
      </c>
      <c r="C7" s="33">
        <v>4325.0</v>
      </c>
      <c r="D7" s="30">
        <v>112.0</v>
      </c>
      <c r="E7" s="31">
        <v>54.0</v>
      </c>
      <c r="F7" s="28">
        <f t="shared" si="1"/>
        <v>4491</v>
      </c>
      <c r="G7" s="30">
        <v>701.0</v>
      </c>
      <c r="H7" s="30">
        <v>637.0</v>
      </c>
      <c r="I7" s="30">
        <v>611.0</v>
      </c>
      <c r="J7" s="30">
        <v>608.0</v>
      </c>
      <c r="K7" s="30">
        <v>631.0</v>
      </c>
      <c r="L7" s="30">
        <v>666.0</v>
      </c>
      <c r="M7" s="31">
        <v>637.0</v>
      </c>
      <c r="N7" s="24">
        <f t="shared" si="2"/>
        <v>4491</v>
      </c>
      <c r="O7" s="30">
        <v>3090.0</v>
      </c>
      <c r="P7" s="31">
        <v>1401.0</v>
      </c>
      <c r="Q7" s="24">
        <f t="shared" si="3"/>
        <v>4491</v>
      </c>
      <c r="R7" s="30">
        <v>3085.0</v>
      </c>
      <c r="S7" s="31">
        <v>1406.0</v>
      </c>
      <c r="T7" s="24">
        <f t="shared" si="4"/>
        <v>4491</v>
      </c>
      <c r="U7" s="30">
        <v>4159.0</v>
      </c>
      <c r="V7" s="30">
        <v>1286.0</v>
      </c>
      <c r="W7" s="30">
        <v>83.0</v>
      </c>
      <c r="X7" s="30">
        <v>2641.0</v>
      </c>
      <c r="Y7" s="30">
        <v>606.0</v>
      </c>
      <c r="Z7" s="30">
        <v>37.0</v>
      </c>
      <c r="AA7" s="31">
        <v>79.0</v>
      </c>
      <c r="AB7" s="24">
        <f t="shared" si="5"/>
        <v>8891</v>
      </c>
      <c r="AC7" s="30">
        <v>101.0</v>
      </c>
      <c r="AD7" s="30">
        <v>3655.0</v>
      </c>
      <c r="AE7" s="30">
        <v>2687.0</v>
      </c>
      <c r="AF7" s="30">
        <v>1664.0</v>
      </c>
      <c r="AG7" s="30">
        <v>739.0</v>
      </c>
      <c r="AH7" s="24">
        <f t="shared" si="6"/>
        <v>8846</v>
      </c>
      <c r="AI7" s="30">
        <v>5735.0</v>
      </c>
      <c r="AJ7" s="30">
        <v>3111.0</v>
      </c>
      <c r="AK7" s="24">
        <f t="shared" si="7"/>
        <v>8846</v>
      </c>
      <c r="AL7" s="30">
        <v>5006.0</v>
      </c>
      <c r="AM7" s="30">
        <v>3840.0</v>
      </c>
      <c r="AN7" s="24">
        <f t="shared" si="8"/>
        <v>8846</v>
      </c>
      <c r="AO7" s="30">
        <v>8696.0</v>
      </c>
      <c r="AP7" s="31">
        <v>150.0</v>
      </c>
      <c r="AQ7" s="24">
        <f t="shared" si="9"/>
        <v>8846</v>
      </c>
      <c r="AR7" s="30">
        <v>6124.0</v>
      </c>
      <c r="AS7" s="30">
        <v>2498.0</v>
      </c>
      <c r="AT7" s="30">
        <v>0.0</v>
      </c>
      <c r="AU7" s="30">
        <v>43.0</v>
      </c>
      <c r="AV7" s="31">
        <v>181.0</v>
      </c>
      <c r="AW7" s="24">
        <f t="shared" si="15"/>
        <v>8846</v>
      </c>
      <c r="AX7" s="29">
        <f t="shared" si="10"/>
        <v>181</v>
      </c>
      <c r="AY7" s="30">
        <v>8328.0</v>
      </c>
      <c r="AZ7" s="31">
        <v>337.0</v>
      </c>
      <c r="BA7" s="24">
        <f t="shared" si="11"/>
        <v>8846</v>
      </c>
      <c r="BB7" s="30">
        <v>4227.0</v>
      </c>
      <c r="BC7" s="30">
        <v>26.0</v>
      </c>
      <c r="BD7" s="30">
        <v>42.0</v>
      </c>
      <c r="BE7" s="30">
        <v>2.0</v>
      </c>
      <c r="BF7" s="30">
        <v>1.0</v>
      </c>
      <c r="BG7" s="30">
        <v>56.0</v>
      </c>
      <c r="BH7" s="30">
        <v>71.0</v>
      </c>
      <c r="BI7" s="31">
        <v>66.0</v>
      </c>
      <c r="BJ7" s="24">
        <f t="shared" si="12"/>
        <v>4491</v>
      </c>
      <c r="BK7" s="30">
        <v>156.0</v>
      </c>
      <c r="BL7" s="30">
        <v>798.0</v>
      </c>
      <c r="BM7" s="30">
        <v>101.0</v>
      </c>
      <c r="BN7" s="30">
        <v>117.0</v>
      </c>
      <c r="BO7" s="30">
        <v>468.0</v>
      </c>
      <c r="BP7" s="30">
        <v>0.0</v>
      </c>
      <c r="BQ7" s="31">
        <v>2851.0</v>
      </c>
      <c r="BR7" s="24">
        <f t="shared" si="13"/>
        <v>4491</v>
      </c>
      <c r="BS7" s="32">
        <v>243.0</v>
      </c>
      <c r="BT7" s="30">
        <v>69.0</v>
      </c>
      <c r="BU7" s="31">
        <v>8871.0</v>
      </c>
      <c r="BV7" s="24">
        <f t="shared" si="14"/>
        <v>9183</v>
      </c>
    </row>
    <row r="8" ht="21.0" customHeight="1">
      <c r="B8" s="24" t="s">
        <v>75</v>
      </c>
      <c r="C8" s="33">
        <v>4410.0</v>
      </c>
      <c r="D8" s="30">
        <v>97.0</v>
      </c>
      <c r="E8" s="31">
        <v>56.0</v>
      </c>
      <c r="F8" s="28">
        <f t="shared" si="1"/>
        <v>4563</v>
      </c>
      <c r="G8" s="30">
        <v>732.0</v>
      </c>
      <c r="H8" s="30">
        <v>652.0</v>
      </c>
      <c r="I8" s="30">
        <v>612.0</v>
      </c>
      <c r="J8" s="30">
        <v>617.0</v>
      </c>
      <c r="K8" s="30">
        <v>615.0</v>
      </c>
      <c r="L8" s="30">
        <v>628.0</v>
      </c>
      <c r="M8" s="31">
        <v>707.0</v>
      </c>
      <c r="N8" s="24">
        <f t="shared" si="2"/>
        <v>4563</v>
      </c>
      <c r="O8" s="30">
        <v>2842.0</v>
      </c>
      <c r="P8" s="31">
        <v>1721.0</v>
      </c>
      <c r="Q8" s="24">
        <f t="shared" si="3"/>
        <v>4563</v>
      </c>
      <c r="R8" s="30">
        <v>3070.0</v>
      </c>
      <c r="S8" s="31">
        <v>1493.0</v>
      </c>
      <c r="T8" s="24">
        <f t="shared" si="4"/>
        <v>4563</v>
      </c>
      <c r="U8" s="30">
        <v>4156.0</v>
      </c>
      <c r="V8" s="30">
        <v>1199.0</v>
      </c>
      <c r="W8" s="30">
        <v>59.0</v>
      </c>
      <c r="X8" s="30">
        <v>3071.0</v>
      </c>
      <c r="Y8" s="30">
        <v>314.0</v>
      </c>
      <c r="Z8" s="30">
        <v>19.0</v>
      </c>
      <c r="AA8" s="31">
        <v>64.0</v>
      </c>
      <c r="AB8" s="24">
        <f t="shared" si="5"/>
        <v>8882</v>
      </c>
      <c r="AC8" s="30">
        <v>97.0</v>
      </c>
      <c r="AD8" s="30">
        <v>3428.0</v>
      </c>
      <c r="AE8" s="30">
        <v>2819.0</v>
      </c>
      <c r="AF8" s="30">
        <v>1672.0</v>
      </c>
      <c r="AG8" s="30">
        <v>814.0</v>
      </c>
      <c r="AH8" s="24">
        <f t="shared" si="6"/>
        <v>8830</v>
      </c>
      <c r="AI8" s="30">
        <v>6409.0</v>
      </c>
      <c r="AJ8" s="30">
        <v>2421.0</v>
      </c>
      <c r="AK8" s="24">
        <f t="shared" si="7"/>
        <v>8830</v>
      </c>
      <c r="AL8" s="30">
        <v>6314.0</v>
      </c>
      <c r="AM8" s="30">
        <v>2516.0</v>
      </c>
      <c r="AN8" s="24">
        <f t="shared" si="8"/>
        <v>8830</v>
      </c>
      <c r="AO8" s="30">
        <v>8730.0</v>
      </c>
      <c r="AP8" s="31">
        <v>100.0</v>
      </c>
      <c r="AQ8" s="24">
        <f t="shared" si="9"/>
        <v>8830</v>
      </c>
      <c r="AR8" s="30">
        <v>6383.0</v>
      </c>
      <c r="AS8" s="30">
        <v>2185.0</v>
      </c>
      <c r="AT8" s="30">
        <v>0.0</v>
      </c>
      <c r="AU8" s="30">
        <v>55.0</v>
      </c>
      <c r="AV8" s="31">
        <v>207.0</v>
      </c>
      <c r="AW8" s="24">
        <f t="shared" si="15"/>
        <v>8830</v>
      </c>
      <c r="AX8" s="29">
        <f t="shared" si="10"/>
        <v>207</v>
      </c>
      <c r="AY8" s="30">
        <v>7834.0</v>
      </c>
      <c r="AZ8" s="31">
        <v>789.0</v>
      </c>
      <c r="BA8" s="24">
        <f t="shared" si="11"/>
        <v>8830</v>
      </c>
      <c r="BB8" s="30">
        <v>4212.0</v>
      </c>
      <c r="BC8" s="30">
        <v>80.0</v>
      </c>
      <c r="BD8" s="30">
        <v>41.0</v>
      </c>
      <c r="BE8" s="30">
        <v>1.0</v>
      </c>
      <c r="BF8" s="30">
        <v>0.0</v>
      </c>
      <c r="BG8" s="30">
        <v>31.0</v>
      </c>
      <c r="BH8" s="30">
        <v>112.0</v>
      </c>
      <c r="BI8" s="31">
        <v>86.0</v>
      </c>
      <c r="BJ8" s="24">
        <f t="shared" si="12"/>
        <v>4563</v>
      </c>
      <c r="BK8" s="30">
        <v>289.0</v>
      </c>
      <c r="BL8" s="30">
        <v>340.0</v>
      </c>
      <c r="BM8" s="30">
        <v>61.0</v>
      </c>
      <c r="BN8" s="30">
        <v>346.0</v>
      </c>
      <c r="BO8" s="30">
        <v>818.0</v>
      </c>
      <c r="BP8" s="30">
        <v>0.0</v>
      </c>
      <c r="BQ8" s="31">
        <v>2709.0</v>
      </c>
      <c r="BR8" s="24">
        <f t="shared" si="13"/>
        <v>4563</v>
      </c>
      <c r="BS8" s="32">
        <v>238.0</v>
      </c>
      <c r="BT8" s="30">
        <v>71.0</v>
      </c>
      <c r="BU8" s="31">
        <v>8779.0</v>
      </c>
      <c r="BV8" s="24">
        <f t="shared" si="14"/>
        <v>9088</v>
      </c>
    </row>
    <row r="9" ht="21.0" customHeight="1">
      <c r="B9" s="24" t="s">
        <v>76</v>
      </c>
      <c r="C9" s="33">
        <v>4591.0</v>
      </c>
      <c r="D9" s="30">
        <v>85.0</v>
      </c>
      <c r="E9" s="31">
        <v>53.0</v>
      </c>
      <c r="F9" s="28">
        <f t="shared" si="1"/>
        <v>4729</v>
      </c>
      <c r="G9" s="30">
        <v>801.0</v>
      </c>
      <c r="H9" s="30">
        <v>714.0</v>
      </c>
      <c r="I9" s="30">
        <v>652.0</v>
      </c>
      <c r="J9" s="30">
        <v>604.0</v>
      </c>
      <c r="K9" s="30">
        <v>629.0</v>
      </c>
      <c r="L9" s="30">
        <v>693.0</v>
      </c>
      <c r="M9" s="31">
        <v>636.0</v>
      </c>
      <c r="N9" s="24">
        <f t="shared" si="2"/>
        <v>4729</v>
      </c>
      <c r="O9" s="30">
        <v>2785.0</v>
      </c>
      <c r="P9" s="31">
        <v>1944.0</v>
      </c>
      <c r="Q9" s="24">
        <f t="shared" si="3"/>
        <v>4729</v>
      </c>
      <c r="R9" s="30">
        <v>3202.0</v>
      </c>
      <c r="S9" s="31">
        <v>1527.0</v>
      </c>
      <c r="T9" s="24">
        <f t="shared" si="4"/>
        <v>4729</v>
      </c>
      <c r="U9" s="30">
        <v>4469.0</v>
      </c>
      <c r="V9" s="30">
        <v>1367.0</v>
      </c>
      <c r="W9" s="30">
        <v>73.0</v>
      </c>
      <c r="X9" s="30">
        <v>2711.0</v>
      </c>
      <c r="Y9" s="30">
        <v>488.0</v>
      </c>
      <c r="Z9" s="30">
        <v>26.0</v>
      </c>
      <c r="AA9" s="31">
        <v>69.0</v>
      </c>
      <c r="AB9" s="24">
        <f t="shared" si="5"/>
        <v>9203</v>
      </c>
      <c r="AC9" s="30">
        <v>113.0</v>
      </c>
      <c r="AD9" s="30">
        <v>3619.0</v>
      </c>
      <c r="AE9" s="30">
        <v>3268.0</v>
      </c>
      <c r="AF9" s="30">
        <v>1320.0</v>
      </c>
      <c r="AG9" s="30">
        <v>804.0</v>
      </c>
      <c r="AH9" s="24">
        <f t="shared" si="6"/>
        <v>9124</v>
      </c>
      <c r="AI9" s="30">
        <v>7225.0</v>
      </c>
      <c r="AJ9" s="30">
        <v>1899.0</v>
      </c>
      <c r="AK9" s="24">
        <f t="shared" si="7"/>
        <v>9124</v>
      </c>
      <c r="AL9" s="30">
        <v>4511.0</v>
      </c>
      <c r="AM9" s="30">
        <v>4613.0</v>
      </c>
      <c r="AN9" s="24">
        <f t="shared" si="8"/>
        <v>9124</v>
      </c>
      <c r="AO9" s="30">
        <v>9024.0</v>
      </c>
      <c r="AP9" s="31">
        <v>100.0</v>
      </c>
      <c r="AQ9" s="24">
        <f t="shared" si="9"/>
        <v>9124</v>
      </c>
      <c r="AR9" s="30">
        <v>6576.0</v>
      </c>
      <c r="AS9" s="30">
        <v>2301.0</v>
      </c>
      <c r="AT9" s="30">
        <v>0.0</v>
      </c>
      <c r="AU9" s="30">
        <v>69.0</v>
      </c>
      <c r="AV9" s="31">
        <v>178.0</v>
      </c>
      <c r="AW9" s="24">
        <f t="shared" si="15"/>
        <v>9124</v>
      </c>
      <c r="AX9" s="29">
        <f t="shared" si="10"/>
        <v>178</v>
      </c>
      <c r="AY9" s="30">
        <v>8339.0</v>
      </c>
      <c r="AZ9" s="31">
        <v>607.0</v>
      </c>
      <c r="BA9" s="24">
        <f t="shared" si="11"/>
        <v>9124</v>
      </c>
      <c r="BB9" s="30">
        <v>4384.0</v>
      </c>
      <c r="BC9" s="30">
        <v>97.0</v>
      </c>
      <c r="BD9" s="30">
        <v>24.0</v>
      </c>
      <c r="BE9" s="30">
        <v>1.0</v>
      </c>
      <c r="BF9" s="30">
        <v>0.0</v>
      </c>
      <c r="BG9" s="30">
        <v>37.0</v>
      </c>
      <c r="BH9" s="30">
        <v>107.0</v>
      </c>
      <c r="BI9" s="31">
        <v>79.0</v>
      </c>
      <c r="BJ9" s="24">
        <f t="shared" si="12"/>
        <v>4729</v>
      </c>
      <c r="BK9" s="30">
        <v>106.0</v>
      </c>
      <c r="BL9" s="30">
        <v>279.0</v>
      </c>
      <c r="BM9" s="30">
        <v>71.0</v>
      </c>
      <c r="BN9" s="30">
        <v>217.0</v>
      </c>
      <c r="BO9" s="30">
        <v>987.0</v>
      </c>
      <c r="BP9" s="30">
        <v>0.0</v>
      </c>
      <c r="BQ9" s="31">
        <v>3069.0</v>
      </c>
      <c r="BR9" s="24">
        <f t="shared" si="13"/>
        <v>4729</v>
      </c>
      <c r="BS9" s="32">
        <v>242.0</v>
      </c>
      <c r="BT9" s="30">
        <v>65.0</v>
      </c>
      <c r="BU9" s="31">
        <v>9024.0</v>
      </c>
      <c r="BV9" s="24">
        <f t="shared" si="14"/>
        <v>9331</v>
      </c>
    </row>
    <row r="10" ht="21.0" customHeight="1">
      <c r="B10" s="24" t="s">
        <v>77</v>
      </c>
      <c r="C10" s="33">
        <v>4712.0</v>
      </c>
      <c r="D10" s="30">
        <v>113.0</v>
      </c>
      <c r="E10" s="31">
        <v>82.0</v>
      </c>
      <c r="F10" s="28">
        <f t="shared" si="1"/>
        <v>4907</v>
      </c>
      <c r="G10" s="30">
        <v>647.0</v>
      </c>
      <c r="H10" s="30">
        <v>634.0</v>
      </c>
      <c r="I10" s="30">
        <v>826.0</v>
      </c>
      <c r="J10" s="30">
        <v>810.0</v>
      </c>
      <c r="K10" s="30">
        <v>624.0</v>
      </c>
      <c r="L10" s="30">
        <v>713.0</v>
      </c>
      <c r="M10" s="31">
        <v>653.0</v>
      </c>
      <c r="N10" s="24">
        <f t="shared" si="2"/>
        <v>4907</v>
      </c>
      <c r="O10" s="30">
        <v>1914.0</v>
      </c>
      <c r="P10" s="31">
        <v>2993.0</v>
      </c>
      <c r="Q10" s="24">
        <f t="shared" si="3"/>
        <v>4907</v>
      </c>
      <c r="R10" s="30">
        <v>3452.0</v>
      </c>
      <c r="S10" s="31">
        <v>1455.0</v>
      </c>
      <c r="T10" s="24">
        <f t="shared" si="4"/>
        <v>4907</v>
      </c>
      <c r="U10" s="30">
        <v>4972.0</v>
      </c>
      <c r="V10" s="30">
        <v>1386.0</v>
      </c>
      <c r="W10" s="30">
        <v>72.0</v>
      </c>
      <c r="X10" s="30">
        <v>2865.0</v>
      </c>
      <c r="Y10" s="30">
        <v>520.0</v>
      </c>
      <c r="Z10" s="30">
        <v>32.0</v>
      </c>
      <c r="AA10" s="31">
        <v>85.0</v>
      </c>
      <c r="AB10" s="24">
        <f t="shared" si="5"/>
        <v>9932</v>
      </c>
      <c r="AC10" s="30">
        <v>338.0</v>
      </c>
      <c r="AD10" s="30">
        <v>2854.0</v>
      </c>
      <c r="AE10" s="30">
        <v>3469.0</v>
      </c>
      <c r="AF10" s="30">
        <v>2585.0</v>
      </c>
      <c r="AG10" s="30">
        <v>686.0</v>
      </c>
      <c r="AH10" s="24">
        <f t="shared" si="6"/>
        <v>9932</v>
      </c>
      <c r="AI10" s="30">
        <v>7100.0</v>
      </c>
      <c r="AJ10" s="30">
        <v>2832.0</v>
      </c>
      <c r="AK10" s="24">
        <f t="shared" si="7"/>
        <v>9932</v>
      </c>
      <c r="AL10" s="30">
        <v>6107.0</v>
      </c>
      <c r="AM10" s="30">
        <v>3825.0</v>
      </c>
      <c r="AN10" s="24">
        <f t="shared" si="8"/>
        <v>9932</v>
      </c>
      <c r="AO10" s="30">
        <v>9757.0</v>
      </c>
      <c r="AP10" s="31">
        <v>175.0</v>
      </c>
      <c r="AQ10" s="24">
        <f t="shared" si="9"/>
        <v>9932</v>
      </c>
      <c r="AR10" s="30">
        <v>5110.0</v>
      </c>
      <c r="AS10" s="30">
        <v>3909.0</v>
      </c>
      <c r="AT10" s="30">
        <v>0.0</v>
      </c>
      <c r="AU10" s="30">
        <v>558.0</v>
      </c>
      <c r="AV10" s="31">
        <v>355.0</v>
      </c>
      <c r="AW10" s="24">
        <f t="shared" si="15"/>
        <v>9932</v>
      </c>
      <c r="AX10" s="29">
        <f t="shared" si="10"/>
        <v>355</v>
      </c>
      <c r="AY10" s="30">
        <v>9081.0</v>
      </c>
      <c r="AZ10" s="31">
        <v>496.0</v>
      </c>
      <c r="BA10" s="24">
        <f t="shared" si="11"/>
        <v>9932</v>
      </c>
      <c r="BB10" s="30">
        <v>4667.0</v>
      </c>
      <c r="BC10" s="30">
        <v>61.0</v>
      </c>
      <c r="BD10" s="30">
        <v>68.0</v>
      </c>
      <c r="BE10" s="30">
        <v>1.0</v>
      </c>
      <c r="BF10" s="30">
        <v>0.0</v>
      </c>
      <c r="BG10" s="30">
        <v>35.0</v>
      </c>
      <c r="BH10" s="30">
        <v>9.0</v>
      </c>
      <c r="BI10" s="31">
        <v>66.0</v>
      </c>
      <c r="BJ10" s="24">
        <f t="shared" si="12"/>
        <v>4907</v>
      </c>
      <c r="BK10" s="30">
        <v>918.0</v>
      </c>
      <c r="BL10" s="30">
        <v>1000.0</v>
      </c>
      <c r="BM10" s="30">
        <v>1286.0</v>
      </c>
      <c r="BN10" s="30">
        <v>387.0</v>
      </c>
      <c r="BO10" s="30">
        <v>913.0</v>
      </c>
      <c r="BP10" s="30">
        <v>0.0</v>
      </c>
      <c r="BQ10" s="31">
        <v>403.0</v>
      </c>
      <c r="BR10" s="24">
        <f t="shared" si="13"/>
        <v>4907</v>
      </c>
      <c r="BS10" s="32">
        <v>351.0</v>
      </c>
      <c r="BT10" s="30">
        <v>134.0</v>
      </c>
      <c r="BU10" s="31">
        <v>11045.0</v>
      </c>
      <c r="BV10" s="24">
        <f t="shared" si="14"/>
        <v>11530</v>
      </c>
    </row>
    <row r="11" ht="21.0" customHeight="1">
      <c r="B11" s="24" t="s">
        <v>78</v>
      </c>
      <c r="C11" s="33">
        <v>4520.0</v>
      </c>
      <c r="D11" s="30">
        <v>72.0</v>
      </c>
      <c r="E11" s="31">
        <v>44.0</v>
      </c>
      <c r="F11" s="28">
        <f t="shared" si="1"/>
        <v>4636</v>
      </c>
      <c r="G11" s="30">
        <v>636.0</v>
      </c>
      <c r="H11" s="30">
        <v>589.0</v>
      </c>
      <c r="I11" s="30">
        <v>690.0</v>
      </c>
      <c r="J11" s="30">
        <v>588.0</v>
      </c>
      <c r="K11" s="30">
        <v>704.0</v>
      </c>
      <c r="L11" s="30">
        <v>722.0</v>
      </c>
      <c r="M11" s="31">
        <v>707.0</v>
      </c>
      <c r="N11" s="24">
        <f t="shared" si="2"/>
        <v>4636</v>
      </c>
      <c r="O11" s="30">
        <v>3147.0</v>
      </c>
      <c r="P11" s="31">
        <v>1489.0</v>
      </c>
      <c r="Q11" s="24">
        <f t="shared" si="3"/>
        <v>4636</v>
      </c>
      <c r="R11" s="30">
        <v>2850.0</v>
      </c>
      <c r="S11" s="31">
        <v>1786.0</v>
      </c>
      <c r="T11" s="24">
        <f t="shared" si="4"/>
        <v>4636</v>
      </c>
      <c r="U11" s="30">
        <v>4749.0</v>
      </c>
      <c r="V11" s="30">
        <v>1660.0</v>
      </c>
      <c r="W11" s="30">
        <v>347.0</v>
      </c>
      <c r="X11" s="30">
        <v>1761.0</v>
      </c>
      <c r="Y11" s="30">
        <v>395.0</v>
      </c>
      <c r="Z11" s="30">
        <v>222.0</v>
      </c>
      <c r="AA11" s="31">
        <v>138.0</v>
      </c>
      <c r="AB11" s="24">
        <f t="shared" si="5"/>
        <v>9272</v>
      </c>
      <c r="AC11" s="30">
        <v>243.0</v>
      </c>
      <c r="AD11" s="30">
        <v>3795.0</v>
      </c>
      <c r="AE11" s="30">
        <v>2985.0</v>
      </c>
      <c r="AF11" s="30">
        <v>1541.0</v>
      </c>
      <c r="AG11" s="30">
        <v>708.0</v>
      </c>
      <c r="AH11" s="24">
        <f t="shared" si="6"/>
        <v>9272</v>
      </c>
      <c r="AI11" s="30">
        <v>6498.0</v>
      </c>
      <c r="AJ11" s="30">
        <v>2774.0</v>
      </c>
      <c r="AK11" s="24">
        <f t="shared" si="7"/>
        <v>9272</v>
      </c>
      <c r="AL11" s="30">
        <v>4521.0</v>
      </c>
      <c r="AM11" s="30">
        <v>4751.0</v>
      </c>
      <c r="AN11" s="24">
        <f t="shared" si="8"/>
        <v>9272</v>
      </c>
      <c r="AO11" s="30">
        <v>9183.0</v>
      </c>
      <c r="AP11" s="31">
        <v>89.0</v>
      </c>
      <c r="AQ11" s="24">
        <f t="shared" si="9"/>
        <v>9272</v>
      </c>
      <c r="AR11" s="30">
        <v>6865.0</v>
      </c>
      <c r="AS11" s="30">
        <v>2102.0</v>
      </c>
      <c r="AT11" s="30">
        <v>0.0</v>
      </c>
      <c r="AU11" s="30">
        <v>42.0</v>
      </c>
      <c r="AV11" s="31">
        <v>263.0</v>
      </c>
      <c r="AW11" s="24">
        <f t="shared" si="15"/>
        <v>9272</v>
      </c>
      <c r="AX11" s="29">
        <f t="shared" si="10"/>
        <v>263</v>
      </c>
      <c r="AY11" s="30">
        <v>8448.0</v>
      </c>
      <c r="AZ11" s="31">
        <v>561.0</v>
      </c>
      <c r="BA11" s="24">
        <f t="shared" si="11"/>
        <v>9272</v>
      </c>
      <c r="BB11" s="30">
        <v>3985.0</v>
      </c>
      <c r="BC11" s="30">
        <v>46.0</v>
      </c>
      <c r="BD11" s="30">
        <v>37.0</v>
      </c>
      <c r="BE11" s="30">
        <v>1.0</v>
      </c>
      <c r="BF11" s="30">
        <v>0.0</v>
      </c>
      <c r="BG11" s="30">
        <v>68.0</v>
      </c>
      <c r="BH11" s="30">
        <v>167.0</v>
      </c>
      <c r="BI11" s="31">
        <v>332.0</v>
      </c>
      <c r="BJ11" s="24">
        <f t="shared" si="12"/>
        <v>4636</v>
      </c>
      <c r="BK11" s="30">
        <v>105.0</v>
      </c>
      <c r="BL11" s="30">
        <v>295.0</v>
      </c>
      <c r="BM11" s="30">
        <v>95.0</v>
      </c>
      <c r="BN11" s="30">
        <v>246.0</v>
      </c>
      <c r="BO11" s="30">
        <v>1245.0</v>
      </c>
      <c r="BP11" s="30">
        <v>0.0</v>
      </c>
      <c r="BQ11" s="31">
        <v>2650.0</v>
      </c>
      <c r="BR11" s="24">
        <f t="shared" si="13"/>
        <v>4636</v>
      </c>
      <c r="BS11" s="32">
        <v>291.0</v>
      </c>
      <c r="BT11" s="30">
        <v>86.0</v>
      </c>
      <c r="BU11" s="31">
        <v>9048.0</v>
      </c>
      <c r="BV11" s="24">
        <f t="shared" si="14"/>
        <v>9425</v>
      </c>
    </row>
    <row r="12" ht="21.0" customHeight="1">
      <c r="B12" s="24" t="s">
        <v>79</v>
      </c>
      <c r="C12" s="33">
        <v>4695.0</v>
      </c>
      <c r="D12" s="30">
        <v>70.0</v>
      </c>
      <c r="E12" s="31">
        <v>62.0</v>
      </c>
      <c r="F12" s="28">
        <f t="shared" si="1"/>
        <v>4827</v>
      </c>
      <c r="G12" s="30">
        <v>704.0</v>
      </c>
      <c r="H12" s="30">
        <v>681.0</v>
      </c>
      <c r="I12" s="30">
        <v>664.0</v>
      </c>
      <c r="J12" s="30">
        <v>689.0</v>
      </c>
      <c r="K12" s="30">
        <v>674.0</v>
      </c>
      <c r="L12" s="30">
        <v>714.0</v>
      </c>
      <c r="M12" s="31">
        <v>701.0</v>
      </c>
      <c r="N12" s="24">
        <f t="shared" si="2"/>
        <v>4827</v>
      </c>
      <c r="O12" s="30">
        <v>2923.0</v>
      </c>
      <c r="P12" s="31">
        <v>1904.0</v>
      </c>
      <c r="Q12" s="24">
        <f t="shared" si="3"/>
        <v>4827</v>
      </c>
      <c r="R12" s="30">
        <v>3461.0</v>
      </c>
      <c r="S12" s="31">
        <v>1366.0</v>
      </c>
      <c r="T12" s="24">
        <f t="shared" si="4"/>
        <v>4827</v>
      </c>
      <c r="U12" s="30">
        <v>4787.0</v>
      </c>
      <c r="V12" s="30">
        <v>1321.0</v>
      </c>
      <c r="W12" s="30">
        <v>106.0</v>
      </c>
      <c r="X12" s="30">
        <v>2711.0</v>
      </c>
      <c r="Y12" s="30">
        <v>405.0</v>
      </c>
      <c r="Z12" s="30">
        <v>47.0</v>
      </c>
      <c r="AA12" s="31">
        <v>94.0</v>
      </c>
      <c r="AB12" s="24">
        <f t="shared" si="5"/>
        <v>9471</v>
      </c>
      <c r="AC12" s="30">
        <v>83.0</v>
      </c>
      <c r="AD12" s="30">
        <v>3755.0</v>
      </c>
      <c r="AE12" s="30">
        <v>3102.0</v>
      </c>
      <c r="AF12" s="30">
        <v>1822.0</v>
      </c>
      <c r="AG12" s="30">
        <v>689.0</v>
      </c>
      <c r="AH12" s="24">
        <f t="shared" si="6"/>
        <v>9451</v>
      </c>
      <c r="AI12" s="30">
        <v>7489.0</v>
      </c>
      <c r="AJ12" s="30">
        <v>1962.0</v>
      </c>
      <c r="AK12" s="24">
        <f t="shared" si="7"/>
        <v>9451</v>
      </c>
      <c r="AL12" s="30">
        <v>2511.0</v>
      </c>
      <c r="AM12" s="30">
        <v>6940.0</v>
      </c>
      <c r="AN12" s="24">
        <f t="shared" si="8"/>
        <v>9451</v>
      </c>
      <c r="AO12" s="30">
        <v>9301.0</v>
      </c>
      <c r="AP12" s="31">
        <v>150.0</v>
      </c>
      <c r="AQ12" s="24">
        <f t="shared" si="9"/>
        <v>9451</v>
      </c>
      <c r="AR12" s="30">
        <v>7347.0</v>
      </c>
      <c r="AS12" s="30">
        <v>1844.0</v>
      </c>
      <c r="AT12" s="30">
        <v>0.0</v>
      </c>
      <c r="AU12" s="30">
        <v>61.0</v>
      </c>
      <c r="AV12" s="31">
        <v>199.0</v>
      </c>
      <c r="AW12" s="24">
        <f t="shared" si="15"/>
        <v>9451</v>
      </c>
      <c r="AX12" s="29">
        <f t="shared" si="10"/>
        <v>199</v>
      </c>
      <c r="AY12" s="30">
        <v>9011.0</v>
      </c>
      <c r="AZ12" s="31">
        <v>241.0</v>
      </c>
      <c r="BA12" s="24">
        <f t="shared" si="11"/>
        <v>9451</v>
      </c>
      <c r="BB12" s="30">
        <v>4545.0</v>
      </c>
      <c r="BC12" s="30">
        <v>58.0</v>
      </c>
      <c r="BD12" s="30">
        <v>29.0</v>
      </c>
      <c r="BE12" s="30">
        <v>1.0</v>
      </c>
      <c r="BF12" s="30">
        <v>0.0</v>
      </c>
      <c r="BG12" s="30">
        <v>37.0</v>
      </c>
      <c r="BH12" s="30">
        <v>119.0</v>
      </c>
      <c r="BI12" s="31">
        <v>38.0</v>
      </c>
      <c r="BJ12" s="24">
        <f t="shared" si="12"/>
        <v>4827</v>
      </c>
      <c r="BK12" s="30">
        <v>281.0</v>
      </c>
      <c r="BL12" s="30">
        <v>317.0</v>
      </c>
      <c r="BM12" s="30">
        <v>106.0</v>
      </c>
      <c r="BN12" s="30">
        <v>319.0</v>
      </c>
      <c r="BO12" s="30">
        <v>641.0</v>
      </c>
      <c r="BP12" s="30">
        <v>0.0</v>
      </c>
      <c r="BQ12" s="31">
        <v>3163.0</v>
      </c>
      <c r="BR12" s="24">
        <f t="shared" si="13"/>
        <v>4827</v>
      </c>
      <c r="BS12" s="32">
        <v>194.0</v>
      </c>
      <c r="BT12" s="30">
        <v>71.0</v>
      </c>
      <c r="BU12" s="31">
        <v>9341.0</v>
      </c>
      <c r="BV12" s="24">
        <f t="shared" si="14"/>
        <v>9606</v>
      </c>
    </row>
    <row r="13" ht="21.0" customHeight="1">
      <c r="B13" s="24" t="s">
        <v>80</v>
      </c>
      <c r="C13" s="35">
        <v>4744.0</v>
      </c>
      <c r="D13" s="36">
        <v>148.0</v>
      </c>
      <c r="E13" s="37">
        <v>62.0</v>
      </c>
      <c r="F13" s="28">
        <f t="shared" si="1"/>
        <v>4954</v>
      </c>
      <c r="G13" s="36">
        <v>731.0</v>
      </c>
      <c r="H13" s="36">
        <v>674.0</v>
      </c>
      <c r="I13" s="36">
        <v>699.0</v>
      </c>
      <c r="J13" s="36">
        <v>704.0</v>
      </c>
      <c r="K13" s="36">
        <v>673.0</v>
      </c>
      <c r="L13" s="36">
        <v>724.0</v>
      </c>
      <c r="M13" s="37">
        <v>749.0</v>
      </c>
      <c r="N13" s="24">
        <f t="shared" si="2"/>
        <v>4954</v>
      </c>
      <c r="O13" s="36">
        <v>2847.0</v>
      </c>
      <c r="P13" s="37">
        <v>2107.0</v>
      </c>
      <c r="Q13" s="24">
        <f t="shared" si="3"/>
        <v>4954</v>
      </c>
      <c r="R13" s="30">
        <v>3493.0</v>
      </c>
      <c r="S13" s="31">
        <v>1461.0</v>
      </c>
      <c r="T13" s="24">
        <f t="shared" si="4"/>
        <v>4954</v>
      </c>
      <c r="U13" s="30">
        <v>4531.0</v>
      </c>
      <c r="V13" s="30">
        <v>1322.0</v>
      </c>
      <c r="W13" s="30">
        <v>197.0</v>
      </c>
      <c r="X13" s="30">
        <v>3018.0</v>
      </c>
      <c r="Y13" s="30">
        <v>391.0</v>
      </c>
      <c r="Z13" s="30">
        <v>101.0</v>
      </c>
      <c r="AA13" s="31">
        <v>92.0</v>
      </c>
      <c r="AB13" s="24">
        <f t="shared" si="5"/>
        <v>9652</v>
      </c>
      <c r="AC13" s="30">
        <v>91.0</v>
      </c>
      <c r="AD13" s="30">
        <v>4022.0</v>
      </c>
      <c r="AE13" s="30">
        <v>3457.0</v>
      </c>
      <c r="AF13" s="30">
        <v>1186.0</v>
      </c>
      <c r="AG13" s="30">
        <v>847.0</v>
      </c>
      <c r="AH13" s="24">
        <f t="shared" si="6"/>
        <v>9603</v>
      </c>
      <c r="AI13" s="30">
        <v>5912.0</v>
      </c>
      <c r="AJ13" s="30">
        <v>3691.0</v>
      </c>
      <c r="AK13" s="24">
        <f t="shared" si="7"/>
        <v>9603</v>
      </c>
      <c r="AL13" s="30">
        <v>5012.0</v>
      </c>
      <c r="AM13" s="30">
        <v>4591.0</v>
      </c>
      <c r="AN13" s="24">
        <f t="shared" si="8"/>
        <v>9603</v>
      </c>
      <c r="AO13" s="30">
        <v>9403.0</v>
      </c>
      <c r="AP13" s="31">
        <v>200.0</v>
      </c>
      <c r="AQ13" s="24">
        <f t="shared" si="9"/>
        <v>9603</v>
      </c>
      <c r="AR13" s="30">
        <v>7974.0</v>
      </c>
      <c r="AS13" s="30">
        <v>1267.0</v>
      </c>
      <c r="AT13" s="30">
        <v>0.0</v>
      </c>
      <c r="AU13" s="30">
        <v>51.0</v>
      </c>
      <c r="AV13" s="31">
        <v>311.0</v>
      </c>
      <c r="AW13" s="24">
        <f t="shared" si="15"/>
        <v>9603</v>
      </c>
      <c r="AX13" s="29">
        <f t="shared" si="10"/>
        <v>311</v>
      </c>
      <c r="AY13" s="30">
        <v>9088.0</v>
      </c>
      <c r="AZ13" s="31">
        <v>204.0</v>
      </c>
      <c r="BA13" s="24">
        <f t="shared" si="11"/>
        <v>9603</v>
      </c>
      <c r="BB13" s="30">
        <v>4583.0</v>
      </c>
      <c r="BC13" s="30">
        <v>57.0</v>
      </c>
      <c r="BD13" s="30">
        <v>104.0</v>
      </c>
      <c r="BE13" s="30">
        <v>3.0</v>
      </c>
      <c r="BF13" s="30">
        <v>0.0</v>
      </c>
      <c r="BG13" s="30">
        <v>35.0</v>
      </c>
      <c r="BH13" s="30">
        <v>68.0</v>
      </c>
      <c r="BI13" s="31">
        <v>104.0</v>
      </c>
      <c r="BJ13" s="24">
        <f t="shared" si="12"/>
        <v>4954</v>
      </c>
      <c r="BK13" s="36">
        <v>191.0</v>
      </c>
      <c r="BL13" s="36">
        <v>501.0</v>
      </c>
      <c r="BM13" s="36">
        <v>87.0</v>
      </c>
      <c r="BN13" s="36">
        <v>294.0</v>
      </c>
      <c r="BO13" s="36">
        <v>713.0</v>
      </c>
      <c r="BP13" s="36">
        <v>0.0</v>
      </c>
      <c r="BQ13" s="37">
        <v>3168.0</v>
      </c>
      <c r="BR13" s="38">
        <f t="shared" si="13"/>
        <v>4954</v>
      </c>
      <c r="BS13" s="39">
        <v>262.0</v>
      </c>
      <c r="BT13" s="36">
        <v>65.0</v>
      </c>
      <c r="BU13" s="37">
        <v>9531.0</v>
      </c>
      <c r="BV13" s="38">
        <f t="shared" si="14"/>
        <v>9858</v>
      </c>
    </row>
    <row r="14" ht="21.0" customHeight="1">
      <c r="B14" s="24" t="s">
        <v>47</v>
      </c>
      <c r="C14" s="40">
        <f t="shared" ref="C14:M14" si="16">SUM(C2:C13)</f>
        <v>54569</v>
      </c>
      <c r="D14" s="41">
        <f t="shared" si="16"/>
        <v>1215</v>
      </c>
      <c r="E14" s="41">
        <f t="shared" si="16"/>
        <v>727</v>
      </c>
      <c r="F14" s="42">
        <f t="shared" si="16"/>
        <v>56511</v>
      </c>
      <c r="G14" s="41">
        <f t="shared" si="16"/>
        <v>8357</v>
      </c>
      <c r="H14" s="41">
        <f t="shared" si="16"/>
        <v>7823</v>
      </c>
      <c r="I14" s="41">
        <f t="shared" si="16"/>
        <v>8074</v>
      </c>
      <c r="J14" s="41">
        <f t="shared" si="16"/>
        <v>7939</v>
      </c>
      <c r="K14" s="41">
        <f t="shared" si="16"/>
        <v>7857</v>
      </c>
      <c r="L14" s="41">
        <f t="shared" si="16"/>
        <v>8275</v>
      </c>
      <c r="M14" s="41">
        <f t="shared" si="16"/>
        <v>8186</v>
      </c>
      <c r="N14" s="24">
        <f t="shared" si="2"/>
        <v>56511</v>
      </c>
      <c r="O14" s="41">
        <f t="shared" ref="O14:BV14" si="17">SUM(O2:O13)</f>
        <v>33624</v>
      </c>
      <c r="P14" s="41">
        <f t="shared" si="17"/>
        <v>22887</v>
      </c>
      <c r="Q14" s="24">
        <f t="shared" si="17"/>
        <v>56511</v>
      </c>
      <c r="R14" s="41">
        <f t="shared" si="17"/>
        <v>38230</v>
      </c>
      <c r="S14" s="43">
        <f t="shared" si="17"/>
        <v>18281</v>
      </c>
      <c r="T14" s="24">
        <f t="shared" si="17"/>
        <v>56511</v>
      </c>
      <c r="U14" s="41">
        <f t="shared" si="17"/>
        <v>49616</v>
      </c>
      <c r="V14" s="41">
        <f t="shared" si="17"/>
        <v>18292</v>
      </c>
      <c r="W14" s="41">
        <f t="shared" si="17"/>
        <v>2030</v>
      </c>
      <c r="X14" s="41">
        <f t="shared" si="17"/>
        <v>30785</v>
      </c>
      <c r="Y14" s="41">
        <f t="shared" si="17"/>
        <v>5396</v>
      </c>
      <c r="Z14" s="41">
        <f t="shared" si="17"/>
        <v>1394</v>
      </c>
      <c r="AA14" s="41">
        <f t="shared" si="17"/>
        <v>1034</v>
      </c>
      <c r="AB14" s="24">
        <f t="shared" si="17"/>
        <v>108547</v>
      </c>
      <c r="AC14" s="24">
        <f t="shared" si="17"/>
        <v>2639</v>
      </c>
      <c r="AD14" s="41">
        <f t="shared" si="17"/>
        <v>38662</v>
      </c>
      <c r="AE14" s="41">
        <f t="shared" si="17"/>
        <v>36045</v>
      </c>
      <c r="AF14" s="41">
        <f t="shared" si="17"/>
        <v>21873</v>
      </c>
      <c r="AG14" s="41">
        <f t="shared" si="17"/>
        <v>8706</v>
      </c>
      <c r="AH14" s="24">
        <f t="shared" si="17"/>
        <v>107925</v>
      </c>
      <c r="AI14" s="41">
        <f t="shared" si="17"/>
        <v>74931</v>
      </c>
      <c r="AJ14" s="41">
        <f t="shared" si="17"/>
        <v>32994</v>
      </c>
      <c r="AK14" s="24">
        <f t="shared" si="17"/>
        <v>107925</v>
      </c>
      <c r="AL14" s="41">
        <f t="shared" si="17"/>
        <v>58409</v>
      </c>
      <c r="AM14" s="41">
        <f t="shared" si="17"/>
        <v>49516</v>
      </c>
      <c r="AN14" s="24">
        <f t="shared" si="17"/>
        <v>107925</v>
      </c>
      <c r="AO14" s="41">
        <f t="shared" si="17"/>
        <v>106297</v>
      </c>
      <c r="AP14" s="43">
        <f t="shared" si="17"/>
        <v>1628</v>
      </c>
      <c r="AQ14" s="24">
        <f t="shared" si="17"/>
        <v>107925</v>
      </c>
      <c r="AR14" s="41">
        <f t="shared" si="17"/>
        <v>71327</v>
      </c>
      <c r="AS14" s="41">
        <f t="shared" si="17"/>
        <v>30404</v>
      </c>
      <c r="AT14" s="41">
        <f t="shared" si="17"/>
        <v>973</v>
      </c>
      <c r="AU14" s="41">
        <f t="shared" si="17"/>
        <v>2360</v>
      </c>
      <c r="AV14" s="43">
        <f t="shared" si="17"/>
        <v>2861</v>
      </c>
      <c r="AW14" s="24">
        <f t="shared" si="17"/>
        <v>107925</v>
      </c>
      <c r="AX14" s="40">
        <f t="shared" si="17"/>
        <v>2861</v>
      </c>
      <c r="AY14" s="41">
        <f t="shared" si="17"/>
        <v>99338</v>
      </c>
      <c r="AZ14" s="43">
        <f t="shared" si="17"/>
        <v>5726</v>
      </c>
      <c r="BA14" s="24">
        <f t="shared" si="17"/>
        <v>107925</v>
      </c>
      <c r="BB14" s="44">
        <f t="shared" si="17"/>
        <v>52204</v>
      </c>
      <c r="BC14" s="44">
        <f t="shared" si="17"/>
        <v>792</v>
      </c>
      <c r="BD14" s="44">
        <f t="shared" si="17"/>
        <v>547</v>
      </c>
      <c r="BE14" s="44">
        <f t="shared" si="17"/>
        <v>20</v>
      </c>
      <c r="BF14" s="44">
        <f t="shared" si="17"/>
        <v>4</v>
      </c>
      <c r="BG14" s="44">
        <f t="shared" si="17"/>
        <v>516</v>
      </c>
      <c r="BH14" s="44">
        <f t="shared" si="17"/>
        <v>1261</v>
      </c>
      <c r="BI14" s="44">
        <f t="shared" si="17"/>
        <v>1167</v>
      </c>
      <c r="BJ14" s="24">
        <f t="shared" si="17"/>
        <v>56511</v>
      </c>
      <c r="BK14" s="24">
        <f t="shared" si="17"/>
        <v>6357</v>
      </c>
      <c r="BL14" s="24">
        <f t="shared" si="17"/>
        <v>8076</v>
      </c>
      <c r="BM14" s="24">
        <f t="shared" si="17"/>
        <v>3627</v>
      </c>
      <c r="BN14" s="24">
        <f t="shared" si="17"/>
        <v>6046</v>
      </c>
      <c r="BO14" s="24">
        <f t="shared" si="17"/>
        <v>11236</v>
      </c>
      <c r="BP14" s="24">
        <f t="shared" si="17"/>
        <v>0</v>
      </c>
      <c r="BQ14" s="24">
        <f t="shared" si="17"/>
        <v>21169</v>
      </c>
      <c r="BR14" s="24">
        <f t="shared" si="17"/>
        <v>56511</v>
      </c>
      <c r="BS14" s="42">
        <f t="shared" si="17"/>
        <v>3114</v>
      </c>
      <c r="BT14" s="24">
        <f t="shared" si="17"/>
        <v>969</v>
      </c>
      <c r="BU14" s="24">
        <f t="shared" si="17"/>
        <v>108837</v>
      </c>
      <c r="BV14" s="24">
        <f t="shared" si="17"/>
        <v>112920</v>
      </c>
    </row>
    <row r="15">
      <c r="A15" s="23">
        <v>1438.0</v>
      </c>
      <c r="B15" s="45" t="s">
        <v>69</v>
      </c>
      <c r="C15" s="46">
        <v>883.0</v>
      </c>
      <c r="D15" s="47">
        <v>204.0</v>
      </c>
      <c r="E15" s="48">
        <v>37.0</v>
      </c>
      <c r="F15" s="49">
        <f t="shared" ref="F15:F26" si="18">SUM(C15:E15)</f>
        <v>1124</v>
      </c>
      <c r="G15" s="47">
        <v>165.0</v>
      </c>
      <c r="H15" s="47">
        <v>179.0</v>
      </c>
      <c r="I15" s="47">
        <v>161.0</v>
      </c>
      <c r="J15" s="47">
        <v>147.0</v>
      </c>
      <c r="K15" s="47">
        <v>176.0</v>
      </c>
      <c r="L15" s="47">
        <v>130.0</v>
      </c>
      <c r="M15" s="48">
        <v>166.0</v>
      </c>
      <c r="N15" s="50">
        <f t="shared" si="2"/>
        <v>1124</v>
      </c>
      <c r="O15" s="47">
        <v>619.0</v>
      </c>
      <c r="P15" s="48">
        <v>505.0</v>
      </c>
      <c r="Q15" s="50">
        <f t="shared" ref="Q15:Q26" si="19">SUM(O15:P15)</f>
        <v>1124</v>
      </c>
      <c r="R15" s="47">
        <v>504.0</v>
      </c>
      <c r="S15" s="48">
        <v>620.0</v>
      </c>
      <c r="T15" s="50">
        <f t="shared" ref="T15:T26" si="20">SUM(R15:S15)</f>
        <v>1124</v>
      </c>
      <c r="U15" s="47">
        <v>822.0</v>
      </c>
      <c r="V15" s="47">
        <v>244.0</v>
      </c>
      <c r="W15" s="47">
        <v>0.0</v>
      </c>
      <c r="X15" s="47">
        <v>290.0</v>
      </c>
      <c r="Y15" s="47">
        <v>134.0</v>
      </c>
      <c r="Z15" s="47">
        <v>39.0</v>
      </c>
      <c r="AA15" s="48">
        <v>26.0</v>
      </c>
      <c r="AB15" s="50">
        <f t="shared" ref="AB15:AB26" si="21">SUM(U15:AA15)</f>
        <v>1555</v>
      </c>
      <c r="AC15" s="47">
        <v>193.0</v>
      </c>
      <c r="AD15" s="47">
        <v>535.0</v>
      </c>
      <c r="AE15" s="47">
        <v>472.0</v>
      </c>
      <c r="AF15" s="47">
        <v>218.0</v>
      </c>
      <c r="AG15" s="47">
        <v>137.0</v>
      </c>
      <c r="AH15" s="50">
        <f t="shared" ref="AH15:AH26" si="22">SUM(AC15:AG15)</f>
        <v>1555</v>
      </c>
      <c r="AI15" s="47">
        <v>1069.0</v>
      </c>
      <c r="AJ15" s="47">
        <v>486.0</v>
      </c>
      <c r="AK15" s="50">
        <f t="shared" ref="AK15:AK26" si="23">SUM(AI15:AJ15)</f>
        <v>1555</v>
      </c>
      <c r="AL15" s="47">
        <v>1148.0</v>
      </c>
      <c r="AM15" s="47">
        <v>407.0</v>
      </c>
      <c r="AN15" s="50">
        <f t="shared" ref="AN15:AN26" si="24">SUM(AL15:AM15)</f>
        <v>1555</v>
      </c>
      <c r="AO15" s="47">
        <v>1442.0</v>
      </c>
      <c r="AP15" s="48">
        <v>113.0</v>
      </c>
      <c r="AQ15" s="50">
        <f t="shared" ref="AQ15:AQ26" si="25">SUM(AO15:AP15)</f>
        <v>1555</v>
      </c>
      <c r="AR15" s="47">
        <v>1250.0</v>
      </c>
      <c r="AS15" s="47">
        <v>186.0</v>
      </c>
      <c r="AT15" s="47">
        <v>0.0</v>
      </c>
      <c r="AU15" s="47">
        <v>0.0</v>
      </c>
      <c r="AV15" s="48">
        <v>119.0</v>
      </c>
      <c r="AW15" s="45">
        <f t="shared" ref="AW15:AW26" si="26">SUM(AR15:AV15)</f>
        <v>1555</v>
      </c>
      <c r="AX15" s="51">
        <f t="shared" ref="AX15:AX26" si="27">AV15</f>
        <v>119</v>
      </c>
      <c r="AY15" s="47">
        <v>1385.0</v>
      </c>
      <c r="AZ15" s="48">
        <v>51.0</v>
      </c>
      <c r="BA15" s="45">
        <f t="shared" ref="BA15:BA26" si="28">SUM(AX15:AZ15)</f>
        <v>1555</v>
      </c>
      <c r="BB15" s="52">
        <v>609.0</v>
      </c>
      <c r="BC15" s="52">
        <v>108.0</v>
      </c>
      <c r="BD15" s="52">
        <v>35.0</v>
      </c>
      <c r="BE15" s="52">
        <v>24.0</v>
      </c>
      <c r="BF15" s="52">
        <v>1.0</v>
      </c>
      <c r="BG15" s="52">
        <v>184.0</v>
      </c>
      <c r="BH15" s="52">
        <v>138.0</v>
      </c>
      <c r="BI15" s="53">
        <v>25.0</v>
      </c>
      <c r="BJ15" s="45">
        <f t="shared" ref="BJ15:BJ26" si="29">SUM(BB15:BI15)</f>
        <v>1124</v>
      </c>
      <c r="BK15" s="52">
        <v>15.0</v>
      </c>
      <c r="BL15" s="52">
        <v>12.0</v>
      </c>
      <c r="BM15" s="52">
        <v>54.0</v>
      </c>
      <c r="BN15" s="52">
        <v>5.0</v>
      </c>
      <c r="BO15" s="52">
        <v>124.0</v>
      </c>
      <c r="BP15" s="52">
        <v>1.0</v>
      </c>
      <c r="BQ15" s="53">
        <v>913.0</v>
      </c>
      <c r="BR15" s="45">
        <f t="shared" ref="BR15:BR26" si="30">SUM(BK15:BQ15)</f>
        <v>1124</v>
      </c>
      <c r="BS15" s="54">
        <v>326.0</v>
      </c>
      <c r="BT15" s="52">
        <v>45.0</v>
      </c>
      <c r="BU15" s="53">
        <v>1420.0</v>
      </c>
      <c r="BV15" s="45">
        <f t="shared" ref="BV15:BV26" si="31">SUM(BS15:BU15)</f>
        <v>1791</v>
      </c>
    </row>
    <row r="16">
      <c r="B16" s="45" t="s">
        <v>70</v>
      </c>
      <c r="C16" s="55">
        <v>939.0</v>
      </c>
      <c r="D16" s="52">
        <v>193.0</v>
      </c>
      <c r="E16" s="53">
        <v>34.0</v>
      </c>
      <c r="F16" s="49">
        <f t="shared" si="18"/>
        <v>1166</v>
      </c>
      <c r="G16" s="52">
        <v>152.0</v>
      </c>
      <c r="H16" s="52">
        <v>154.0</v>
      </c>
      <c r="I16" s="52">
        <v>173.0</v>
      </c>
      <c r="J16" s="52">
        <v>151.0</v>
      </c>
      <c r="K16" s="52">
        <v>201.0</v>
      </c>
      <c r="L16" s="52">
        <v>177.0</v>
      </c>
      <c r="M16" s="53">
        <v>158.0</v>
      </c>
      <c r="N16" s="50">
        <f t="shared" si="2"/>
        <v>1166</v>
      </c>
      <c r="O16" s="52">
        <v>655.0</v>
      </c>
      <c r="P16" s="53">
        <v>511.0</v>
      </c>
      <c r="Q16" s="50">
        <f t="shared" si="19"/>
        <v>1166</v>
      </c>
      <c r="R16" s="52">
        <v>471.0</v>
      </c>
      <c r="S16" s="53">
        <v>695.0</v>
      </c>
      <c r="T16" s="50">
        <f t="shared" si="20"/>
        <v>1166</v>
      </c>
      <c r="U16" s="52">
        <v>835.0</v>
      </c>
      <c r="V16" s="52">
        <v>224.0</v>
      </c>
      <c r="W16" s="52">
        <v>6.0</v>
      </c>
      <c r="X16" s="52">
        <v>302.0</v>
      </c>
      <c r="Y16" s="52">
        <v>120.0</v>
      </c>
      <c r="Z16" s="52">
        <v>36.0</v>
      </c>
      <c r="AA16" s="53">
        <v>32.0</v>
      </c>
      <c r="AB16" s="50">
        <f t="shared" si="21"/>
        <v>1555</v>
      </c>
      <c r="AC16" s="52">
        <v>217.0</v>
      </c>
      <c r="AD16" s="52">
        <v>517.0</v>
      </c>
      <c r="AE16" s="52">
        <v>392.0</v>
      </c>
      <c r="AF16" s="52">
        <v>258.0</v>
      </c>
      <c r="AG16" s="52">
        <v>171.0</v>
      </c>
      <c r="AH16" s="50">
        <f t="shared" si="22"/>
        <v>1555</v>
      </c>
      <c r="AI16" s="52">
        <v>1070.0</v>
      </c>
      <c r="AJ16" s="52">
        <v>485.0</v>
      </c>
      <c r="AK16" s="50">
        <f t="shared" si="23"/>
        <v>1555</v>
      </c>
      <c r="AL16" s="52">
        <v>1017.0</v>
      </c>
      <c r="AM16" s="52">
        <v>538.0</v>
      </c>
      <c r="AN16" s="50">
        <f t="shared" si="24"/>
        <v>1555</v>
      </c>
      <c r="AO16" s="52">
        <v>1307.0</v>
      </c>
      <c r="AP16" s="53">
        <v>248.0</v>
      </c>
      <c r="AQ16" s="50">
        <f t="shared" si="25"/>
        <v>1555</v>
      </c>
      <c r="AR16" s="52">
        <v>1241.0</v>
      </c>
      <c r="AS16" s="52">
        <v>208.0</v>
      </c>
      <c r="AT16" s="52">
        <v>6.0</v>
      </c>
      <c r="AU16" s="52">
        <v>0.0</v>
      </c>
      <c r="AV16" s="53">
        <v>100.0</v>
      </c>
      <c r="AW16" s="45">
        <f t="shared" si="26"/>
        <v>1555</v>
      </c>
      <c r="AX16" s="51">
        <f t="shared" si="27"/>
        <v>100</v>
      </c>
      <c r="AY16" s="52">
        <v>1365.0</v>
      </c>
      <c r="AZ16" s="53">
        <v>90.0</v>
      </c>
      <c r="BA16" s="45">
        <f t="shared" si="28"/>
        <v>1555</v>
      </c>
      <c r="BB16" s="52">
        <v>611.0</v>
      </c>
      <c r="BC16" s="52">
        <v>187.0</v>
      </c>
      <c r="BD16" s="52">
        <v>46.0</v>
      </c>
      <c r="BE16" s="52">
        <v>22.0</v>
      </c>
      <c r="BF16" s="52">
        <v>1.0</v>
      </c>
      <c r="BG16" s="52">
        <v>160.0</v>
      </c>
      <c r="BH16" s="52">
        <v>118.0</v>
      </c>
      <c r="BI16" s="53">
        <v>21.0</v>
      </c>
      <c r="BJ16" s="45">
        <f t="shared" si="29"/>
        <v>1166</v>
      </c>
      <c r="BK16" s="52">
        <v>21.0</v>
      </c>
      <c r="BL16" s="52">
        <v>28.0</v>
      </c>
      <c r="BM16" s="52">
        <v>34.0</v>
      </c>
      <c r="BN16" s="52">
        <v>5.0</v>
      </c>
      <c r="BO16" s="52">
        <v>244.0</v>
      </c>
      <c r="BP16" s="52">
        <v>0.0</v>
      </c>
      <c r="BQ16" s="53">
        <v>834.0</v>
      </c>
      <c r="BR16" s="45">
        <f t="shared" si="30"/>
        <v>1166</v>
      </c>
      <c r="BS16" s="54">
        <v>272.0</v>
      </c>
      <c r="BT16" s="52">
        <v>42.0</v>
      </c>
      <c r="BU16" s="53">
        <v>1352.0</v>
      </c>
      <c r="BV16" s="45">
        <f t="shared" si="31"/>
        <v>1666</v>
      </c>
    </row>
    <row r="17">
      <c r="B17" s="45" t="s">
        <v>71</v>
      </c>
      <c r="C17" s="55">
        <v>1061.0</v>
      </c>
      <c r="D17" s="52">
        <v>264.0</v>
      </c>
      <c r="E17" s="53">
        <v>40.0</v>
      </c>
      <c r="F17" s="49">
        <f t="shared" si="18"/>
        <v>1365</v>
      </c>
      <c r="G17" s="52">
        <v>193.0</v>
      </c>
      <c r="H17" s="52">
        <v>179.0</v>
      </c>
      <c r="I17" s="52">
        <v>187.0</v>
      </c>
      <c r="J17" s="52">
        <v>203.0</v>
      </c>
      <c r="K17" s="52">
        <v>243.0</v>
      </c>
      <c r="L17" s="52">
        <v>172.0</v>
      </c>
      <c r="M17" s="53">
        <v>188.0</v>
      </c>
      <c r="N17" s="50">
        <f t="shared" si="2"/>
        <v>1365</v>
      </c>
      <c r="O17" s="52">
        <v>795.0</v>
      </c>
      <c r="P17" s="53">
        <v>570.0</v>
      </c>
      <c r="Q17" s="50">
        <f t="shared" si="19"/>
        <v>1365</v>
      </c>
      <c r="R17" s="52">
        <v>633.0</v>
      </c>
      <c r="S17" s="53">
        <v>732.0</v>
      </c>
      <c r="T17" s="50">
        <f t="shared" si="20"/>
        <v>1365</v>
      </c>
      <c r="U17" s="52">
        <v>1137.0</v>
      </c>
      <c r="V17" s="52">
        <v>246.0</v>
      </c>
      <c r="W17" s="52">
        <v>4.0</v>
      </c>
      <c r="X17" s="52">
        <v>361.0</v>
      </c>
      <c r="Y17" s="52">
        <v>124.0</v>
      </c>
      <c r="Z17" s="52">
        <v>36.0</v>
      </c>
      <c r="AA17" s="53">
        <v>35.0</v>
      </c>
      <c r="AB17" s="50">
        <f t="shared" si="21"/>
        <v>1943</v>
      </c>
      <c r="AC17" s="52">
        <v>267.0</v>
      </c>
      <c r="AD17" s="52">
        <v>557.0</v>
      </c>
      <c r="AE17" s="52">
        <v>602.0</v>
      </c>
      <c r="AF17" s="52">
        <v>305.0</v>
      </c>
      <c r="AG17" s="52">
        <v>212.0</v>
      </c>
      <c r="AH17" s="50">
        <f t="shared" si="22"/>
        <v>1943</v>
      </c>
      <c r="AI17" s="52">
        <v>1421.0</v>
      </c>
      <c r="AJ17" s="52">
        <v>522.0</v>
      </c>
      <c r="AK17" s="50">
        <f t="shared" si="23"/>
        <v>1943</v>
      </c>
      <c r="AL17" s="52">
        <v>1426.0</v>
      </c>
      <c r="AM17" s="52">
        <v>517.0</v>
      </c>
      <c r="AN17" s="50">
        <f t="shared" si="24"/>
        <v>1943</v>
      </c>
      <c r="AO17" s="52">
        <v>1911.0</v>
      </c>
      <c r="AP17" s="53">
        <v>32.0</v>
      </c>
      <c r="AQ17" s="50">
        <f t="shared" si="25"/>
        <v>1943</v>
      </c>
      <c r="AR17" s="52">
        <v>1578.0</v>
      </c>
      <c r="AS17" s="52">
        <v>249.0</v>
      </c>
      <c r="AT17" s="52">
        <v>2.0</v>
      </c>
      <c r="AU17" s="52">
        <v>5.0</v>
      </c>
      <c r="AV17" s="53">
        <v>109.0</v>
      </c>
      <c r="AW17" s="45">
        <f t="shared" si="26"/>
        <v>1943</v>
      </c>
      <c r="AX17" s="51">
        <f t="shared" si="27"/>
        <v>109</v>
      </c>
      <c r="AY17" s="52">
        <v>1664.0</v>
      </c>
      <c r="AZ17" s="53">
        <v>170.0</v>
      </c>
      <c r="BA17" s="45">
        <f t="shared" si="28"/>
        <v>1943</v>
      </c>
      <c r="BB17" s="52">
        <v>777.0</v>
      </c>
      <c r="BC17" s="52">
        <v>241.0</v>
      </c>
      <c r="BD17" s="52">
        <v>46.0</v>
      </c>
      <c r="BE17" s="52">
        <v>17.0</v>
      </c>
      <c r="BF17" s="52">
        <v>0.0</v>
      </c>
      <c r="BG17" s="52">
        <v>146.0</v>
      </c>
      <c r="BH17" s="52">
        <v>135.0</v>
      </c>
      <c r="BI17" s="53">
        <v>3.0</v>
      </c>
      <c r="BJ17" s="45">
        <f t="shared" si="29"/>
        <v>1365</v>
      </c>
      <c r="BK17" s="52">
        <v>15.0</v>
      </c>
      <c r="BL17" s="52">
        <v>56.0</v>
      </c>
      <c r="BM17" s="52">
        <v>54.0</v>
      </c>
      <c r="BN17" s="52">
        <v>10.0</v>
      </c>
      <c r="BO17" s="52">
        <v>287.0</v>
      </c>
      <c r="BP17" s="52">
        <v>0.0</v>
      </c>
      <c r="BQ17" s="53">
        <v>943.0</v>
      </c>
      <c r="BR17" s="45">
        <f t="shared" si="30"/>
        <v>1365</v>
      </c>
      <c r="BS17" s="54">
        <v>462.0</v>
      </c>
      <c r="BT17" s="52">
        <v>52.0</v>
      </c>
      <c r="BU17" s="53">
        <v>1676.0</v>
      </c>
      <c r="BV17" s="45">
        <f t="shared" si="31"/>
        <v>2190</v>
      </c>
    </row>
    <row r="18">
      <c r="B18" s="45" t="s">
        <v>72</v>
      </c>
      <c r="C18" s="55">
        <v>1148.0</v>
      </c>
      <c r="D18" s="52">
        <v>287.0</v>
      </c>
      <c r="E18" s="53">
        <v>34.0</v>
      </c>
      <c r="F18" s="49">
        <f t="shared" si="18"/>
        <v>1469</v>
      </c>
      <c r="G18" s="52">
        <v>172.0</v>
      </c>
      <c r="H18" s="52">
        <v>227.0</v>
      </c>
      <c r="I18" s="52">
        <v>193.0</v>
      </c>
      <c r="J18" s="52">
        <v>195.0</v>
      </c>
      <c r="K18" s="52">
        <v>213.0</v>
      </c>
      <c r="L18" s="52">
        <v>266.0</v>
      </c>
      <c r="M18" s="53">
        <v>203.0</v>
      </c>
      <c r="N18" s="50">
        <f t="shared" si="2"/>
        <v>1469</v>
      </c>
      <c r="O18" s="52">
        <v>800.0</v>
      </c>
      <c r="P18" s="53">
        <v>669.0</v>
      </c>
      <c r="Q18" s="50">
        <f t="shared" si="19"/>
        <v>1469</v>
      </c>
      <c r="R18" s="52">
        <v>819.0</v>
      </c>
      <c r="S18" s="53">
        <v>650.0</v>
      </c>
      <c r="T18" s="50">
        <f t="shared" si="20"/>
        <v>1469</v>
      </c>
      <c r="U18" s="52">
        <v>1511.0</v>
      </c>
      <c r="V18" s="52">
        <v>321.0</v>
      </c>
      <c r="W18" s="52">
        <v>8.0</v>
      </c>
      <c r="X18" s="52">
        <v>421.0</v>
      </c>
      <c r="Y18" s="52">
        <v>136.0</v>
      </c>
      <c r="Z18" s="52">
        <v>31.0</v>
      </c>
      <c r="AA18" s="53">
        <v>11.0</v>
      </c>
      <c r="AB18" s="50">
        <f t="shared" si="21"/>
        <v>2439</v>
      </c>
      <c r="AC18" s="52">
        <v>352.0</v>
      </c>
      <c r="AD18" s="52">
        <v>721.0</v>
      </c>
      <c r="AE18" s="52">
        <v>798.0</v>
      </c>
      <c r="AF18" s="52">
        <v>425.0</v>
      </c>
      <c r="AG18" s="52">
        <v>143.0</v>
      </c>
      <c r="AH18" s="50">
        <f t="shared" si="22"/>
        <v>2439</v>
      </c>
      <c r="AI18" s="52">
        <v>1696.0</v>
      </c>
      <c r="AJ18" s="52">
        <v>743.0</v>
      </c>
      <c r="AK18" s="50">
        <f t="shared" si="23"/>
        <v>2439</v>
      </c>
      <c r="AL18" s="52">
        <v>1814.0</v>
      </c>
      <c r="AM18" s="52">
        <v>625.0</v>
      </c>
      <c r="AN18" s="50">
        <f t="shared" si="24"/>
        <v>2439</v>
      </c>
      <c r="AO18" s="52">
        <v>2405.0</v>
      </c>
      <c r="AP18" s="53">
        <v>34.0</v>
      </c>
      <c r="AQ18" s="50">
        <f t="shared" si="25"/>
        <v>2439</v>
      </c>
      <c r="AR18" s="52">
        <v>1843.0</v>
      </c>
      <c r="AS18" s="52">
        <v>426.0</v>
      </c>
      <c r="AT18" s="52">
        <v>2.0</v>
      </c>
      <c r="AU18" s="52">
        <v>0.0</v>
      </c>
      <c r="AV18" s="53">
        <v>168.0</v>
      </c>
      <c r="AW18" s="45">
        <f t="shared" si="26"/>
        <v>2439</v>
      </c>
      <c r="AX18" s="51">
        <f t="shared" si="27"/>
        <v>168</v>
      </c>
      <c r="AY18" s="52">
        <v>1982.0</v>
      </c>
      <c r="AZ18" s="53">
        <v>289.0</v>
      </c>
      <c r="BA18" s="45">
        <f t="shared" si="28"/>
        <v>2439</v>
      </c>
      <c r="BB18" s="52">
        <v>1054.0</v>
      </c>
      <c r="BC18" s="52">
        <v>194.0</v>
      </c>
      <c r="BD18" s="52">
        <v>37.0</v>
      </c>
      <c r="BE18" s="52">
        <v>27.0</v>
      </c>
      <c r="BF18" s="52">
        <v>0.0</v>
      </c>
      <c r="BG18" s="52">
        <v>124.0</v>
      </c>
      <c r="BH18" s="52">
        <v>27.0</v>
      </c>
      <c r="BI18" s="53">
        <v>6.0</v>
      </c>
      <c r="BJ18" s="45">
        <f t="shared" si="29"/>
        <v>1469</v>
      </c>
      <c r="BK18" s="52">
        <v>11.0</v>
      </c>
      <c r="BL18" s="52">
        <v>18.0</v>
      </c>
      <c r="BM18" s="52">
        <v>45.0</v>
      </c>
      <c r="BN18" s="52">
        <v>0.0</v>
      </c>
      <c r="BO18" s="52">
        <v>219.0</v>
      </c>
      <c r="BP18" s="52">
        <v>0.0</v>
      </c>
      <c r="BQ18" s="53">
        <v>1176.0</v>
      </c>
      <c r="BR18" s="45">
        <f t="shared" si="30"/>
        <v>1469</v>
      </c>
      <c r="BS18" s="54">
        <v>420.0</v>
      </c>
      <c r="BT18" s="52">
        <v>38.0</v>
      </c>
      <c r="BU18" s="53">
        <v>1363.0</v>
      </c>
      <c r="BV18" s="45">
        <f t="shared" si="31"/>
        <v>1821</v>
      </c>
    </row>
    <row r="19">
      <c r="B19" s="56" t="s">
        <v>73</v>
      </c>
      <c r="C19" s="55">
        <v>1111.0</v>
      </c>
      <c r="D19" s="52">
        <v>274.0</v>
      </c>
      <c r="E19" s="53">
        <v>26.0</v>
      </c>
      <c r="F19" s="49">
        <f t="shared" si="18"/>
        <v>1411</v>
      </c>
      <c r="G19" s="52">
        <v>219.0</v>
      </c>
      <c r="H19" s="52">
        <v>191.0</v>
      </c>
      <c r="I19" s="52">
        <v>168.0</v>
      </c>
      <c r="J19" s="52">
        <v>191.0</v>
      </c>
      <c r="K19" s="52">
        <v>215.0</v>
      </c>
      <c r="L19" s="52">
        <v>187.0</v>
      </c>
      <c r="M19" s="53">
        <v>240.0</v>
      </c>
      <c r="N19" s="50">
        <f t="shared" si="2"/>
        <v>1411</v>
      </c>
      <c r="O19" s="52">
        <v>859.0</v>
      </c>
      <c r="P19" s="53">
        <v>552.0</v>
      </c>
      <c r="Q19" s="50">
        <f t="shared" si="19"/>
        <v>1411</v>
      </c>
      <c r="R19" s="52">
        <v>707.0</v>
      </c>
      <c r="S19" s="53">
        <v>704.0</v>
      </c>
      <c r="T19" s="50">
        <f t="shared" si="20"/>
        <v>1411</v>
      </c>
      <c r="U19" s="52">
        <v>1312.0</v>
      </c>
      <c r="V19" s="52">
        <v>314.0</v>
      </c>
      <c r="W19" s="52">
        <v>19.0</v>
      </c>
      <c r="X19" s="52">
        <v>407.0</v>
      </c>
      <c r="Y19" s="52">
        <v>161.0</v>
      </c>
      <c r="Z19" s="52">
        <v>20.0</v>
      </c>
      <c r="AA19" s="53">
        <v>21.0</v>
      </c>
      <c r="AB19" s="50">
        <f t="shared" si="21"/>
        <v>2254</v>
      </c>
      <c r="AC19" s="52">
        <v>281.0</v>
      </c>
      <c r="AD19" s="52">
        <v>681.0</v>
      </c>
      <c r="AE19" s="52">
        <v>749.0</v>
      </c>
      <c r="AF19" s="52">
        <v>357.0</v>
      </c>
      <c r="AG19" s="52">
        <v>186.0</v>
      </c>
      <c r="AH19" s="50">
        <f t="shared" si="22"/>
        <v>2254</v>
      </c>
      <c r="AI19" s="52">
        <v>1563.0</v>
      </c>
      <c r="AJ19" s="52">
        <v>691.0</v>
      </c>
      <c r="AK19" s="50">
        <f t="shared" si="23"/>
        <v>2254</v>
      </c>
      <c r="AL19" s="52">
        <v>1657.0</v>
      </c>
      <c r="AM19" s="52">
        <v>597.0</v>
      </c>
      <c r="AN19" s="50">
        <f t="shared" si="24"/>
        <v>2254</v>
      </c>
      <c r="AO19" s="52">
        <v>2222.0</v>
      </c>
      <c r="AP19" s="53">
        <v>32.0</v>
      </c>
      <c r="AQ19" s="50">
        <f t="shared" si="25"/>
        <v>2254</v>
      </c>
      <c r="AR19" s="52">
        <v>1673.0</v>
      </c>
      <c r="AS19" s="52">
        <v>373.0</v>
      </c>
      <c r="AT19" s="52">
        <v>7.0</v>
      </c>
      <c r="AU19" s="52">
        <v>1.0</v>
      </c>
      <c r="AV19" s="53">
        <v>200.0</v>
      </c>
      <c r="AW19" s="45">
        <f t="shared" si="26"/>
        <v>2254</v>
      </c>
      <c r="AX19" s="51">
        <f t="shared" si="27"/>
        <v>200</v>
      </c>
      <c r="AY19" s="52">
        <v>1769.0</v>
      </c>
      <c r="AZ19" s="53">
        <v>285.0</v>
      </c>
      <c r="BA19" s="45">
        <f t="shared" si="28"/>
        <v>2254</v>
      </c>
      <c r="BB19" s="52">
        <v>1010.0</v>
      </c>
      <c r="BC19" s="52">
        <v>189.0</v>
      </c>
      <c r="BD19" s="52">
        <v>40.0</v>
      </c>
      <c r="BE19" s="52">
        <v>13.0</v>
      </c>
      <c r="BF19" s="52">
        <v>3.0</v>
      </c>
      <c r="BG19" s="52">
        <v>114.0</v>
      </c>
      <c r="BH19" s="52">
        <v>37.0</v>
      </c>
      <c r="BI19" s="53">
        <v>5.0</v>
      </c>
      <c r="BJ19" s="45">
        <f t="shared" si="29"/>
        <v>1411</v>
      </c>
      <c r="BK19" s="52">
        <v>8.0</v>
      </c>
      <c r="BL19" s="52">
        <v>12.0</v>
      </c>
      <c r="BM19" s="52">
        <v>45.0</v>
      </c>
      <c r="BN19" s="52">
        <v>0.0</v>
      </c>
      <c r="BO19" s="52">
        <v>184.0</v>
      </c>
      <c r="BP19" s="52">
        <v>0.0</v>
      </c>
      <c r="BQ19" s="53">
        <v>1162.0</v>
      </c>
      <c r="BR19" s="45">
        <f t="shared" si="30"/>
        <v>1411</v>
      </c>
      <c r="BS19" s="54">
        <v>415.0</v>
      </c>
      <c r="BT19" s="52">
        <v>33.0</v>
      </c>
      <c r="BU19" s="53">
        <v>1802.0</v>
      </c>
      <c r="BV19" s="45">
        <f t="shared" si="31"/>
        <v>2250</v>
      </c>
    </row>
    <row r="20">
      <c r="B20" s="56" t="s">
        <v>74</v>
      </c>
      <c r="C20" s="55">
        <v>1143.0</v>
      </c>
      <c r="D20" s="52">
        <v>247.0</v>
      </c>
      <c r="E20" s="53">
        <v>28.0</v>
      </c>
      <c r="F20" s="49">
        <f t="shared" si="18"/>
        <v>1418</v>
      </c>
      <c r="G20" s="52">
        <v>203.0</v>
      </c>
      <c r="H20" s="52">
        <v>199.0</v>
      </c>
      <c r="I20" s="52">
        <v>206.0</v>
      </c>
      <c r="J20" s="52">
        <v>219.0</v>
      </c>
      <c r="K20" s="52">
        <v>203.0</v>
      </c>
      <c r="L20" s="52">
        <v>188.0</v>
      </c>
      <c r="M20" s="53">
        <v>200.0</v>
      </c>
      <c r="N20" s="50">
        <f t="shared" si="2"/>
        <v>1418</v>
      </c>
      <c r="O20" s="52">
        <v>860.0</v>
      </c>
      <c r="P20" s="53">
        <v>558.0</v>
      </c>
      <c r="Q20" s="50">
        <f t="shared" si="19"/>
        <v>1418</v>
      </c>
      <c r="R20" s="52">
        <v>718.0</v>
      </c>
      <c r="S20" s="53">
        <v>700.0</v>
      </c>
      <c r="T20" s="50">
        <f t="shared" si="20"/>
        <v>1418</v>
      </c>
      <c r="U20" s="52">
        <v>1181.0</v>
      </c>
      <c r="V20" s="52">
        <v>340.0</v>
      </c>
      <c r="W20" s="52">
        <v>6.0</v>
      </c>
      <c r="X20" s="52">
        <v>418.0</v>
      </c>
      <c r="Y20" s="52">
        <v>303.0</v>
      </c>
      <c r="Z20" s="52">
        <v>24.0</v>
      </c>
      <c r="AA20" s="53">
        <v>37.0</v>
      </c>
      <c r="AB20" s="50">
        <f t="shared" si="21"/>
        <v>2309</v>
      </c>
      <c r="AC20" s="52">
        <v>261.0</v>
      </c>
      <c r="AD20" s="52">
        <v>808.0</v>
      </c>
      <c r="AE20" s="52">
        <v>757.0</v>
      </c>
      <c r="AF20" s="52">
        <v>328.0</v>
      </c>
      <c r="AG20" s="52">
        <v>155.0</v>
      </c>
      <c r="AH20" s="50">
        <f t="shared" si="22"/>
        <v>2309</v>
      </c>
      <c r="AI20" s="52">
        <v>1712.0</v>
      </c>
      <c r="AJ20" s="52">
        <v>597.0</v>
      </c>
      <c r="AK20" s="50">
        <f t="shared" si="23"/>
        <v>2309</v>
      </c>
      <c r="AL20" s="52">
        <v>1809.0</v>
      </c>
      <c r="AM20" s="52">
        <v>500.0</v>
      </c>
      <c r="AN20" s="50">
        <f t="shared" si="24"/>
        <v>2309</v>
      </c>
      <c r="AO20" s="52">
        <v>2287.0</v>
      </c>
      <c r="AP20" s="53">
        <v>22.0</v>
      </c>
      <c r="AQ20" s="50">
        <f t="shared" si="25"/>
        <v>2309</v>
      </c>
      <c r="AR20" s="52">
        <v>1658.0</v>
      </c>
      <c r="AS20" s="52">
        <v>507.0</v>
      </c>
      <c r="AT20" s="52">
        <v>3.0</v>
      </c>
      <c r="AU20" s="52">
        <v>0.0</v>
      </c>
      <c r="AV20" s="53">
        <v>141.0</v>
      </c>
      <c r="AW20" s="45">
        <f t="shared" si="26"/>
        <v>2309</v>
      </c>
      <c r="AX20" s="51">
        <f t="shared" si="27"/>
        <v>141</v>
      </c>
      <c r="AY20" s="52">
        <v>1922.0</v>
      </c>
      <c r="AZ20" s="53">
        <v>246.0</v>
      </c>
      <c r="BA20" s="45">
        <f t="shared" si="28"/>
        <v>2309</v>
      </c>
      <c r="BB20" s="52">
        <v>993.0</v>
      </c>
      <c r="BC20" s="52">
        <v>203.0</v>
      </c>
      <c r="BD20" s="52">
        <v>33.0</v>
      </c>
      <c r="BE20" s="52">
        <v>33.0</v>
      </c>
      <c r="BF20" s="52">
        <v>2.0</v>
      </c>
      <c r="BG20" s="52">
        <v>115.0</v>
      </c>
      <c r="BH20" s="52">
        <v>23.0</v>
      </c>
      <c r="BI20" s="53">
        <v>16.0</v>
      </c>
      <c r="BJ20" s="45">
        <f t="shared" si="29"/>
        <v>1418</v>
      </c>
      <c r="BK20" s="52">
        <v>32.0</v>
      </c>
      <c r="BL20" s="52">
        <v>61.0</v>
      </c>
      <c r="BM20" s="52">
        <v>89.0</v>
      </c>
      <c r="BN20" s="52">
        <v>10.0</v>
      </c>
      <c r="BO20" s="52">
        <v>160.0</v>
      </c>
      <c r="BP20" s="52">
        <v>0.0</v>
      </c>
      <c r="BQ20" s="53">
        <v>1066.0</v>
      </c>
      <c r="BR20" s="45">
        <f t="shared" si="30"/>
        <v>1418</v>
      </c>
      <c r="BS20" s="54">
        <v>386.0</v>
      </c>
      <c r="BT20" s="52">
        <v>29.0</v>
      </c>
      <c r="BU20" s="53">
        <v>2223.0</v>
      </c>
      <c r="BV20" s="45">
        <f t="shared" si="31"/>
        <v>2638</v>
      </c>
    </row>
    <row r="21">
      <c r="B21" s="45" t="s">
        <v>75</v>
      </c>
      <c r="C21" s="55">
        <v>1084.0</v>
      </c>
      <c r="D21" s="52">
        <v>277.0</v>
      </c>
      <c r="E21" s="53">
        <v>39.0</v>
      </c>
      <c r="F21" s="49">
        <f t="shared" si="18"/>
        <v>1400</v>
      </c>
      <c r="G21" s="52">
        <v>185.0</v>
      </c>
      <c r="H21" s="52">
        <v>231.0</v>
      </c>
      <c r="I21" s="52">
        <v>190.0</v>
      </c>
      <c r="J21" s="52">
        <v>178.0</v>
      </c>
      <c r="K21" s="52">
        <v>201.0</v>
      </c>
      <c r="L21" s="52">
        <v>195.0</v>
      </c>
      <c r="M21" s="53">
        <v>220.0</v>
      </c>
      <c r="N21" s="50">
        <f t="shared" si="2"/>
        <v>1400</v>
      </c>
      <c r="O21" s="52">
        <v>837.0</v>
      </c>
      <c r="P21" s="53">
        <v>563.0</v>
      </c>
      <c r="Q21" s="50">
        <f t="shared" si="19"/>
        <v>1400</v>
      </c>
      <c r="R21" s="52">
        <v>652.0</v>
      </c>
      <c r="S21" s="53">
        <v>748.0</v>
      </c>
      <c r="T21" s="50">
        <f t="shared" si="20"/>
        <v>1400</v>
      </c>
      <c r="U21" s="52">
        <v>1268.0</v>
      </c>
      <c r="V21" s="52">
        <v>302.0</v>
      </c>
      <c r="W21" s="52">
        <v>15.0</v>
      </c>
      <c r="X21" s="52">
        <v>472.0</v>
      </c>
      <c r="Y21" s="52">
        <v>154.0</v>
      </c>
      <c r="Z21" s="52">
        <v>29.0</v>
      </c>
      <c r="AA21" s="53">
        <v>24.0</v>
      </c>
      <c r="AB21" s="50">
        <f t="shared" si="21"/>
        <v>2264</v>
      </c>
      <c r="AC21" s="52">
        <v>241.0</v>
      </c>
      <c r="AD21" s="52">
        <v>844.0</v>
      </c>
      <c r="AE21" s="52">
        <v>707.0</v>
      </c>
      <c r="AF21" s="52">
        <v>359.0</v>
      </c>
      <c r="AG21" s="52">
        <v>113.0</v>
      </c>
      <c r="AH21" s="50">
        <f t="shared" si="22"/>
        <v>2264</v>
      </c>
      <c r="AI21" s="52">
        <v>1587.0</v>
      </c>
      <c r="AJ21" s="52">
        <v>677.0</v>
      </c>
      <c r="AK21" s="50">
        <f t="shared" si="23"/>
        <v>2264</v>
      </c>
      <c r="AL21" s="52">
        <v>1441.0</v>
      </c>
      <c r="AM21" s="52">
        <v>823.0</v>
      </c>
      <c r="AN21" s="50">
        <f t="shared" si="24"/>
        <v>2264</v>
      </c>
      <c r="AO21" s="52">
        <v>2221.0</v>
      </c>
      <c r="AP21" s="53">
        <v>43.0</v>
      </c>
      <c r="AQ21" s="50">
        <f t="shared" si="25"/>
        <v>2264</v>
      </c>
      <c r="AR21" s="52">
        <v>1693.0</v>
      </c>
      <c r="AS21" s="52">
        <v>482.0</v>
      </c>
      <c r="AT21" s="52">
        <v>0.0</v>
      </c>
      <c r="AU21" s="52">
        <v>0.0</v>
      </c>
      <c r="AV21" s="53">
        <v>89.0</v>
      </c>
      <c r="AW21" s="45">
        <f t="shared" si="26"/>
        <v>2264</v>
      </c>
      <c r="AX21" s="51">
        <f t="shared" si="27"/>
        <v>89</v>
      </c>
      <c r="AY21" s="52">
        <v>1753.0</v>
      </c>
      <c r="AZ21" s="53">
        <v>422.0</v>
      </c>
      <c r="BA21" s="45">
        <f t="shared" si="28"/>
        <v>2264</v>
      </c>
      <c r="BB21" s="52">
        <v>1017.0</v>
      </c>
      <c r="BC21" s="52">
        <v>139.0</v>
      </c>
      <c r="BD21" s="52">
        <v>34.0</v>
      </c>
      <c r="BE21" s="52">
        <v>30.0</v>
      </c>
      <c r="BF21" s="52">
        <v>1.0</v>
      </c>
      <c r="BG21" s="52">
        <v>106.0</v>
      </c>
      <c r="BH21" s="52">
        <v>63.0</v>
      </c>
      <c r="BI21" s="53">
        <v>10.0</v>
      </c>
      <c r="BJ21" s="45">
        <f t="shared" si="29"/>
        <v>1400</v>
      </c>
      <c r="BK21" s="52">
        <v>10.0</v>
      </c>
      <c r="BL21" s="52">
        <v>40.0</v>
      </c>
      <c r="BM21" s="52">
        <v>75.0</v>
      </c>
      <c r="BN21" s="52">
        <v>0.0</v>
      </c>
      <c r="BO21" s="52">
        <v>261.0</v>
      </c>
      <c r="BP21" s="52">
        <v>0.0</v>
      </c>
      <c r="BQ21" s="53">
        <v>1014.0</v>
      </c>
      <c r="BR21" s="45">
        <f t="shared" si="30"/>
        <v>1400</v>
      </c>
      <c r="BS21" s="54">
        <v>424.0</v>
      </c>
      <c r="BT21" s="52">
        <v>45.0</v>
      </c>
      <c r="BU21" s="53">
        <v>2202.0</v>
      </c>
      <c r="BV21" s="45">
        <f t="shared" si="31"/>
        <v>2671</v>
      </c>
    </row>
    <row r="22">
      <c r="B22" s="45" t="s">
        <v>76</v>
      </c>
      <c r="C22" s="55">
        <v>1217.0</v>
      </c>
      <c r="D22" s="52">
        <v>255.0</v>
      </c>
      <c r="E22" s="53">
        <v>43.0</v>
      </c>
      <c r="F22" s="49">
        <f t="shared" si="18"/>
        <v>1515</v>
      </c>
      <c r="G22" s="52">
        <v>200.0</v>
      </c>
      <c r="H22" s="52">
        <v>249.0</v>
      </c>
      <c r="I22" s="52">
        <v>184.0</v>
      </c>
      <c r="J22" s="52">
        <v>190.0</v>
      </c>
      <c r="K22" s="52">
        <v>235.0</v>
      </c>
      <c r="L22" s="52">
        <v>240.0</v>
      </c>
      <c r="M22" s="53">
        <v>217.0</v>
      </c>
      <c r="N22" s="50">
        <f t="shared" si="2"/>
        <v>1515</v>
      </c>
      <c r="O22" s="52">
        <v>959.0</v>
      </c>
      <c r="P22" s="53">
        <v>556.0</v>
      </c>
      <c r="Q22" s="50">
        <f t="shared" si="19"/>
        <v>1515</v>
      </c>
      <c r="R22" s="52">
        <v>752.0</v>
      </c>
      <c r="S22" s="53">
        <v>763.0</v>
      </c>
      <c r="T22" s="50">
        <f t="shared" si="20"/>
        <v>1515</v>
      </c>
      <c r="U22" s="52">
        <v>1567.0</v>
      </c>
      <c r="V22" s="52">
        <v>235.0</v>
      </c>
      <c r="W22" s="52">
        <v>9.0</v>
      </c>
      <c r="X22" s="52">
        <v>356.0</v>
      </c>
      <c r="Y22" s="52">
        <v>237.0</v>
      </c>
      <c r="Z22" s="52">
        <v>24.0</v>
      </c>
      <c r="AA22" s="53">
        <v>79.0</v>
      </c>
      <c r="AB22" s="50">
        <f t="shared" si="21"/>
        <v>2507</v>
      </c>
      <c r="AC22" s="52">
        <v>259.0</v>
      </c>
      <c r="AD22" s="52">
        <v>744.0</v>
      </c>
      <c r="AE22" s="52">
        <v>727.0</v>
      </c>
      <c r="AF22" s="52">
        <v>568.0</v>
      </c>
      <c r="AG22" s="52">
        <v>209.0</v>
      </c>
      <c r="AH22" s="50">
        <f t="shared" si="22"/>
        <v>2507</v>
      </c>
      <c r="AI22" s="52">
        <v>1837.0</v>
      </c>
      <c r="AJ22" s="52">
        <v>670.0</v>
      </c>
      <c r="AK22" s="50">
        <f t="shared" si="23"/>
        <v>2507</v>
      </c>
      <c r="AL22" s="52">
        <v>1664.0</v>
      </c>
      <c r="AM22" s="52">
        <v>843.0</v>
      </c>
      <c r="AN22" s="50">
        <f t="shared" si="24"/>
        <v>2507</v>
      </c>
      <c r="AO22" s="52">
        <v>2465.0</v>
      </c>
      <c r="AP22" s="53">
        <v>42.0</v>
      </c>
      <c r="AQ22" s="50">
        <f t="shared" si="25"/>
        <v>2507</v>
      </c>
      <c r="AR22" s="52">
        <v>1837.0</v>
      </c>
      <c r="AS22" s="52">
        <v>530.0</v>
      </c>
      <c r="AT22" s="52">
        <v>3.0</v>
      </c>
      <c r="AU22" s="52">
        <v>1.0</v>
      </c>
      <c r="AV22" s="53">
        <v>136.0</v>
      </c>
      <c r="AW22" s="45">
        <f t="shared" si="26"/>
        <v>2507</v>
      </c>
      <c r="AX22" s="51">
        <f t="shared" si="27"/>
        <v>136</v>
      </c>
      <c r="AY22" s="52">
        <v>1961.0</v>
      </c>
      <c r="AZ22" s="53">
        <v>410.0</v>
      </c>
      <c r="BA22" s="45">
        <f t="shared" si="28"/>
        <v>2507</v>
      </c>
      <c r="BB22" s="52">
        <v>957.0</v>
      </c>
      <c r="BC22" s="52">
        <v>253.0</v>
      </c>
      <c r="BD22" s="52">
        <v>49.0</v>
      </c>
      <c r="BE22" s="52">
        <v>51.0</v>
      </c>
      <c r="BF22" s="52">
        <v>1.0</v>
      </c>
      <c r="BG22" s="52">
        <v>131.0</v>
      </c>
      <c r="BH22" s="52">
        <v>73.0</v>
      </c>
      <c r="BI22" s="53">
        <v>0.0</v>
      </c>
      <c r="BJ22" s="45">
        <f t="shared" si="29"/>
        <v>1515</v>
      </c>
      <c r="BK22" s="52">
        <v>0.0</v>
      </c>
      <c r="BL22" s="52">
        <v>4.0</v>
      </c>
      <c r="BM22" s="52">
        <v>16.0</v>
      </c>
      <c r="BN22" s="52">
        <v>0.0</v>
      </c>
      <c r="BO22" s="52">
        <v>116.0</v>
      </c>
      <c r="BP22" s="52">
        <v>0.0</v>
      </c>
      <c r="BQ22" s="53">
        <v>1379.0</v>
      </c>
      <c r="BR22" s="45">
        <f t="shared" si="30"/>
        <v>1515</v>
      </c>
      <c r="BS22" s="54">
        <v>351.0</v>
      </c>
      <c r="BT22" s="52">
        <v>50.0</v>
      </c>
      <c r="BU22" s="53">
        <v>2372.0</v>
      </c>
      <c r="BV22" s="45">
        <f t="shared" si="31"/>
        <v>2773</v>
      </c>
    </row>
    <row r="23">
      <c r="B23" s="45" t="s">
        <v>77</v>
      </c>
      <c r="C23" s="55">
        <v>1352.0</v>
      </c>
      <c r="D23" s="52">
        <v>187.0</v>
      </c>
      <c r="E23" s="53">
        <v>23.0</v>
      </c>
      <c r="F23" s="49">
        <f t="shared" si="18"/>
        <v>1562</v>
      </c>
      <c r="G23" s="52">
        <v>225.0</v>
      </c>
      <c r="H23" s="52">
        <v>219.0</v>
      </c>
      <c r="I23" s="52">
        <v>216.0</v>
      </c>
      <c r="J23" s="52">
        <v>190.0</v>
      </c>
      <c r="K23" s="52">
        <v>251.0</v>
      </c>
      <c r="L23" s="52">
        <v>237.0</v>
      </c>
      <c r="M23" s="53">
        <v>224.0</v>
      </c>
      <c r="N23" s="50">
        <f t="shared" si="2"/>
        <v>1562</v>
      </c>
      <c r="O23" s="52">
        <v>950.0</v>
      </c>
      <c r="P23" s="53">
        <v>612.0</v>
      </c>
      <c r="Q23" s="50">
        <f t="shared" si="19"/>
        <v>1562</v>
      </c>
      <c r="R23" s="52">
        <v>861.0</v>
      </c>
      <c r="S23" s="53">
        <v>701.0</v>
      </c>
      <c r="T23" s="50">
        <f t="shared" si="20"/>
        <v>1562</v>
      </c>
      <c r="U23" s="52">
        <v>1456.0</v>
      </c>
      <c r="V23" s="52">
        <v>214.0</v>
      </c>
      <c r="W23" s="52">
        <v>5.0</v>
      </c>
      <c r="X23" s="52">
        <v>256.0</v>
      </c>
      <c r="Y23" s="52">
        <v>221.0</v>
      </c>
      <c r="Z23" s="52">
        <v>13.0</v>
      </c>
      <c r="AA23" s="53">
        <v>45.0</v>
      </c>
      <c r="AB23" s="50">
        <f t="shared" si="21"/>
        <v>2210</v>
      </c>
      <c r="AC23" s="52">
        <v>244.0</v>
      </c>
      <c r="AD23" s="52">
        <v>645.0</v>
      </c>
      <c r="AE23" s="52">
        <v>561.0</v>
      </c>
      <c r="AF23" s="52">
        <v>468.0</v>
      </c>
      <c r="AG23" s="52">
        <v>292.0</v>
      </c>
      <c r="AH23" s="50">
        <f t="shared" si="22"/>
        <v>2210</v>
      </c>
      <c r="AI23" s="52">
        <v>1492.0</v>
      </c>
      <c r="AJ23" s="52">
        <v>718.0</v>
      </c>
      <c r="AK23" s="50">
        <f t="shared" si="23"/>
        <v>2210</v>
      </c>
      <c r="AL23" s="52">
        <v>914.0</v>
      </c>
      <c r="AM23" s="52">
        <v>1296.0</v>
      </c>
      <c r="AN23" s="50">
        <f t="shared" si="24"/>
        <v>2210</v>
      </c>
      <c r="AO23" s="52">
        <v>2200.0</v>
      </c>
      <c r="AP23" s="53">
        <v>10.0</v>
      </c>
      <c r="AQ23" s="50">
        <f t="shared" si="25"/>
        <v>2210</v>
      </c>
      <c r="AR23" s="52">
        <v>1614.0</v>
      </c>
      <c r="AS23" s="52">
        <v>454.0</v>
      </c>
      <c r="AT23" s="52">
        <v>0.0</v>
      </c>
      <c r="AU23" s="52">
        <v>0.0</v>
      </c>
      <c r="AV23" s="53">
        <v>142.0</v>
      </c>
      <c r="AW23" s="45">
        <f t="shared" si="26"/>
        <v>2210</v>
      </c>
      <c r="AX23" s="51">
        <f t="shared" si="27"/>
        <v>142</v>
      </c>
      <c r="AY23" s="52">
        <v>1668.0</v>
      </c>
      <c r="AZ23" s="53">
        <v>400.0</v>
      </c>
      <c r="BA23" s="45">
        <f t="shared" si="28"/>
        <v>2210</v>
      </c>
      <c r="BB23" s="52">
        <v>987.0</v>
      </c>
      <c r="BC23" s="52">
        <v>224.0</v>
      </c>
      <c r="BD23" s="52">
        <v>28.0</v>
      </c>
      <c r="BE23" s="52">
        <v>12.0</v>
      </c>
      <c r="BF23" s="52">
        <v>0.0</v>
      </c>
      <c r="BG23" s="52">
        <v>229.0</v>
      </c>
      <c r="BH23" s="52">
        <v>82.0</v>
      </c>
      <c r="BI23" s="53">
        <v>0.0</v>
      </c>
      <c r="BJ23" s="45">
        <f t="shared" si="29"/>
        <v>1562</v>
      </c>
      <c r="BK23" s="52">
        <v>0.0</v>
      </c>
      <c r="BL23" s="52">
        <v>0.0</v>
      </c>
      <c r="BM23" s="52">
        <v>0.0</v>
      </c>
      <c r="BN23" s="52">
        <v>0.0</v>
      </c>
      <c r="BO23" s="52">
        <v>263.0</v>
      </c>
      <c r="BP23" s="52">
        <v>0.0</v>
      </c>
      <c r="BQ23" s="53">
        <v>1299.0</v>
      </c>
      <c r="BR23" s="45">
        <f t="shared" si="30"/>
        <v>1562</v>
      </c>
      <c r="BS23" s="54">
        <v>333.0</v>
      </c>
      <c r="BT23" s="52">
        <v>33.0</v>
      </c>
      <c r="BU23" s="53">
        <v>1875.0</v>
      </c>
      <c r="BV23" s="45">
        <f t="shared" si="31"/>
        <v>2241</v>
      </c>
    </row>
    <row r="24">
      <c r="B24" s="45" t="s">
        <v>78</v>
      </c>
      <c r="C24" s="55">
        <v>1205.0</v>
      </c>
      <c r="D24" s="52">
        <v>242.0</v>
      </c>
      <c r="E24" s="53">
        <v>51.0</v>
      </c>
      <c r="F24" s="49">
        <f t="shared" si="18"/>
        <v>1498</v>
      </c>
      <c r="G24" s="52">
        <v>206.0</v>
      </c>
      <c r="H24" s="52">
        <v>234.0</v>
      </c>
      <c r="I24" s="52">
        <v>172.0</v>
      </c>
      <c r="J24" s="52">
        <v>198.0</v>
      </c>
      <c r="K24" s="52">
        <v>253.0</v>
      </c>
      <c r="L24" s="52">
        <v>233.0</v>
      </c>
      <c r="M24" s="53">
        <v>202.0</v>
      </c>
      <c r="N24" s="50">
        <f t="shared" si="2"/>
        <v>1498</v>
      </c>
      <c r="O24" s="52">
        <v>768.0</v>
      </c>
      <c r="P24" s="53">
        <v>730.0</v>
      </c>
      <c r="Q24" s="50">
        <f t="shared" si="19"/>
        <v>1498</v>
      </c>
      <c r="R24" s="52">
        <v>942.0</v>
      </c>
      <c r="S24" s="53">
        <v>556.0</v>
      </c>
      <c r="T24" s="50">
        <f t="shared" si="20"/>
        <v>1498</v>
      </c>
      <c r="U24" s="52">
        <v>1389.0</v>
      </c>
      <c r="V24" s="52">
        <v>221.0</v>
      </c>
      <c r="W24" s="52">
        <v>9.0</v>
      </c>
      <c r="X24" s="52">
        <v>265.0</v>
      </c>
      <c r="Y24" s="52">
        <v>205.0</v>
      </c>
      <c r="Z24" s="52">
        <v>52.0</v>
      </c>
      <c r="AA24" s="53">
        <v>78.0</v>
      </c>
      <c r="AB24" s="50">
        <f t="shared" si="21"/>
        <v>2219</v>
      </c>
      <c r="AC24" s="52">
        <v>143.0</v>
      </c>
      <c r="AD24" s="52">
        <v>684.0</v>
      </c>
      <c r="AE24" s="52">
        <v>724.0</v>
      </c>
      <c r="AF24" s="52">
        <v>474.0</v>
      </c>
      <c r="AG24" s="52">
        <v>194.0</v>
      </c>
      <c r="AH24" s="50">
        <f t="shared" si="22"/>
        <v>2219</v>
      </c>
      <c r="AI24" s="52">
        <v>1638.0</v>
      </c>
      <c r="AJ24" s="52">
        <v>581.0</v>
      </c>
      <c r="AK24" s="50">
        <f t="shared" si="23"/>
        <v>2219</v>
      </c>
      <c r="AL24" s="52">
        <v>1584.0</v>
      </c>
      <c r="AM24" s="52">
        <v>635.0</v>
      </c>
      <c r="AN24" s="50">
        <f t="shared" si="24"/>
        <v>2219</v>
      </c>
      <c r="AO24" s="52">
        <v>2149.0</v>
      </c>
      <c r="AP24" s="53">
        <v>70.0</v>
      </c>
      <c r="AQ24" s="50">
        <f t="shared" si="25"/>
        <v>2219</v>
      </c>
      <c r="AR24" s="52">
        <v>1916.0</v>
      </c>
      <c r="AS24" s="52">
        <v>186.0</v>
      </c>
      <c r="AT24" s="52">
        <v>0.0</v>
      </c>
      <c r="AU24" s="52">
        <v>0.0</v>
      </c>
      <c r="AV24" s="53">
        <v>117.0</v>
      </c>
      <c r="AW24" s="45">
        <f t="shared" si="26"/>
        <v>2219</v>
      </c>
      <c r="AX24" s="51">
        <f t="shared" si="27"/>
        <v>117</v>
      </c>
      <c r="AY24" s="52">
        <v>2069.0</v>
      </c>
      <c r="AZ24" s="53">
        <v>33.0</v>
      </c>
      <c r="BA24" s="45">
        <f t="shared" si="28"/>
        <v>2219</v>
      </c>
      <c r="BB24" s="52">
        <v>1066.0</v>
      </c>
      <c r="BC24" s="52">
        <v>136.0</v>
      </c>
      <c r="BD24" s="52">
        <v>41.0</v>
      </c>
      <c r="BE24" s="52">
        <v>24.0</v>
      </c>
      <c r="BF24" s="52">
        <v>6.0</v>
      </c>
      <c r="BG24" s="52">
        <v>101.0</v>
      </c>
      <c r="BH24" s="52">
        <v>114.0</v>
      </c>
      <c r="BI24" s="53">
        <v>10.0</v>
      </c>
      <c r="BJ24" s="45">
        <f t="shared" si="29"/>
        <v>1498</v>
      </c>
      <c r="BK24" s="52">
        <v>46.0</v>
      </c>
      <c r="BL24" s="52">
        <v>43.0</v>
      </c>
      <c r="BM24" s="52">
        <v>76.0</v>
      </c>
      <c r="BN24" s="52">
        <v>49.0</v>
      </c>
      <c r="BO24" s="52">
        <v>113.0</v>
      </c>
      <c r="BP24" s="52">
        <v>0.0</v>
      </c>
      <c r="BQ24" s="53">
        <v>1171.0</v>
      </c>
      <c r="BR24" s="45">
        <f t="shared" si="30"/>
        <v>1498</v>
      </c>
      <c r="BS24" s="54">
        <v>333.0</v>
      </c>
      <c r="BT24" s="52">
        <v>62.0</v>
      </c>
      <c r="BU24" s="53">
        <v>2166.0</v>
      </c>
      <c r="BV24" s="45">
        <f t="shared" si="31"/>
        <v>2561</v>
      </c>
    </row>
    <row r="25">
      <c r="B25" s="45" t="s">
        <v>79</v>
      </c>
      <c r="C25" s="55">
        <v>1122.0</v>
      </c>
      <c r="D25" s="52">
        <v>186.0</v>
      </c>
      <c r="E25" s="53">
        <v>26.0</v>
      </c>
      <c r="F25" s="49">
        <f t="shared" si="18"/>
        <v>1334</v>
      </c>
      <c r="G25" s="52">
        <v>234.0</v>
      </c>
      <c r="H25" s="52">
        <v>176.0</v>
      </c>
      <c r="I25" s="52">
        <v>180.0</v>
      </c>
      <c r="J25" s="52">
        <v>209.0</v>
      </c>
      <c r="K25" s="52">
        <v>184.0</v>
      </c>
      <c r="L25" s="52">
        <v>167.0</v>
      </c>
      <c r="M25" s="53">
        <v>184.0</v>
      </c>
      <c r="N25" s="50">
        <f t="shared" si="2"/>
        <v>1334</v>
      </c>
      <c r="O25" s="52">
        <v>660.0</v>
      </c>
      <c r="P25" s="53">
        <v>674.0</v>
      </c>
      <c r="Q25" s="50">
        <f t="shared" si="19"/>
        <v>1334</v>
      </c>
      <c r="R25" s="52">
        <v>935.0</v>
      </c>
      <c r="S25" s="53">
        <v>399.0</v>
      </c>
      <c r="T25" s="50">
        <f t="shared" si="20"/>
        <v>1334</v>
      </c>
      <c r="U25" s="52">
        <v>1491.0</v>
      </c>
      <c r="V25" s="52">
        <v>189.0</v>
      </c>
      <c r="W25" s="52">
        <v>6.0</v>
      </c>
      <c r="X25" s="52">
        <v>241.0</v>
      </c>
      <c r="Y25" s="52">
        <v>114.0</v>
      </c>
      <c r="Z25" s="52">
        <v>49.0</v>
      </c>
      <c r="AA25" s="53">
        <v>20.0</v>
      </c>
      <c r="AB25" s="50">
        <f t="shared" si="21"/>
        <v>2110</v>
      </c>
      <c r="AC25" s="52">
        <v>168.0</v>
      </c>
      <c r="AD25" s="52">
        <v>596.0</v>
      </c>
      <c r="AE25" s="52">
        <v>867.0</v>
      </c>
      <c r="AF25" s="52">
        <v>348.0</v>
      </c>
      <c r="AG25" s="52">
        <v>131.0</v>
      </c>
      <c r="AH25" s="50">
        <f t="shared" si="22"/>
        <v>2110</v>
      </c>
      <c r="AI25" s="52">
        <v>1413.0</v>
      </c>
      <c r="AJ25" s="52">
        <v>697.0</v>
      </c>
      <c r="AK25" s="50">
        <f t="shared" si="23"/>
        <v>2110</v>
      </c>
      <c r="AL25" s="52">
        <v>1206.0</v>
      </c>
      <c r="AM25" s="52">
        <v>904.0</v>
      </c>
      <c r="AN25" s="50">
        <f t="shared" si="24"/>
        <v>2110</v>
      </c>
      <c r="AO25" s="52">
        <v>2095.0</v>
      </c>
      <c r="AP25" s="53">
        <v>15.0</v>
      </c>
      <c r="AQ25" s="50">
        <f t="shared" si="25"/>
        <v>2110</v>
      </c>
      <c r="AR25" s="52">
        <v>1737.0</v>
      </c>
      <c r="AS25" s="52">
        <v>296.0</v>
      </c>
      <c r="AT25" s="52">
        <v>0.0</v>
      </c>
      <c r="AU25" s="52">
        <v>2.0</v>
      </c>
      <c r="AV25" s="53">
        <v>75.0</v>
      </c>
      <c r="AW25" s="45">
        <f t="shared" si="26"/>
        <v>2110</v>
      </c>
      <c r="AX25" s="51">
        <f t="shared" si="27"/>
        <v>75</v>
      </c>
      <c r="AY25" s="52">
        <v>1789.0</v>
      </c>
      <c r="AZ25" s="53">
        <v>246.0</v>
      </c>
      <c r="BA25" s="45">
        <f t="shared" si="28"/>
        <v>2110</v>
      </c>
      <c r="BB25" s="52">
        <v>946.0</v>
      </c>
      <c r="BC25" s="52">
        <v>144.0</v>
      </c>
      <c r="BD25" s="52">
        <v>39.0</v>
      </c>
      <c r="BE25" s="52">
        <v>13.0</v>
      </c>
      <c r="BF25" s="52">
        <v>2.0</v>
      </c>
      <c r="BG25" s="52">
        <v>100.0</v>
      </c>
      <c r="BH25" s="52">
        <v>84.0</v>
      </c>
      <c r="BI25" s="53">
        <v>6.0</v>
      </c>
      <c r="BJ25" s="45">
        <f t="shared" si="29"/>
        <v>1334</v>
      </c>
      <c r="BK25" s="52">
        <v>8.0</v>
      </c>
      <c r="BL25" s="52">
        <v>6.0</v>
      </c>
      <c r="BM25" s="52">
        <v>27.0</v>
      </c>
      <c r="BN25" s="52">
        <v>2.0</v>
      </c>
      <c r="BO25" s="52">
        <v>126.0</v>
      </c>
      <c r="BP25" s="52">
        <v>0.0</v>
      </c>
      <c r="BQ25" s="53">
        <v>1165.0</v>
      </c>
      <c r="BR25" s="45">
        <f t="shared" si="30"/>
        <v>1334</v>
      </c>
      <c r="BS25" s="54">
        <v>264.0</v>
      </c>
      <c r="BT25" s="52">
        <v>33.0</v>
      </c>
      <c r="BU25" s="53">
        <v>1763.0</v>
      </c>
      <c r="BV25" s="45">
        <f t="shared" si="31"/>
        <v>2060</v>
      </c>
    </row>
    <row r="26">
      <c r="B26" s="45" t="s">
        <v>80</v>
      </c>
      <c r="C26" s="57">
        <v>1033.0</v>
      </c>
      <c r="D26" s="58">
        <v>214.0</v>
      </c>
      <c r="E26" s="59">
        <v>40.0</v>
      </c>
      <c r="F26" s="49">
        <f t="shared" si="18"/>
        <v>1287</v>
      </c>
      <c r="G26" s="58">
        <v>154.0</v>
      </c>
      <c r="H26" s="58">
        <v>177.0</v>
      </c>
      <c r="I26" s="58">
        <v>178.0</v>
      </c>
      <c r="J26" s="58">
        <v>214.0</v>
      </c>
      <c r="K26" s="58">
        <v>206.0</v>
      </c>
      <c r="L26" s="58">
        <v>167.0</v>
      </c>
      <c r="M26" s="59">
        <v>191.0</v>
      </c>
      <c r="N26" s="50">
        <f t="shared" si="2"/>
        <v>1287</v>
      </c>
      <c r="O26" s="58">
        <v>688.0</v>
      </c>
      <c r="P26" s="59">
        <v>599.0</v>
      </c>
      <c r="Q26" s="50">
        <f t="shared" si="19"/>
        <v>1287</v>
      </c>
      <c r="R26" s="52">
        <v>763.0</v>
      </c>
      <c r="S26" s="53">
        <v>524.0</v>
      </c>
      <c r="T26" s="50">
        <f t="shared" si="20"/>
        <v>1287</v>
      </c>
      <c r="U26" s="52">
        <v>1211.0</v>
      </c>
      <c r="V26" s="52">
        <v>240.0</v>
      </c>
      <c r="W26" s="52">
        <v>16.0</v>
      </c>
      <c r="X26" s="52">
        <v>336.0</v>
      </c>
      <c r="Y26" s="52">
        <v>107.0</v>
      </c>
      <c r="Z26" s="52">
        <v>64.0</v>
      </c>
      <c r="AA26" s="53">
        <v>27.0</v>
      </c>
      <c r="AB26" s="50">
        <f t="shared" si="21"/>
        <v>2001</v>
      </c>
      <c r="AC26" s="52">
        <v>214.0</v>
      </c>
      <c r="AD26" s="52">
        <v>638.0</v>
      </c>
      <c r="AE26" s="52">
        <v>790.0</v>
      </c>
      <c r="AF26" s="52">
        <v>257.0</v>
      </c>
      <c r="AG26" s="52">
        <v>102.0</v>
      </c>
      <c r="AH26" s="50">
        <f t="shared" si="22"/>
        <v>2001</v>
      </c>
      <c r="AI26" s="52">
        <v>1507.0</v>
      </c>
      <c r="AJ26" s="52">
        <v>494.0</v>
      </c>
      <c r="AK26" s="50">
        <f t="shared" si="23"/>
        <v>2001</v>
      </c>
      <c r="AL26" s="52">
        <v>1404.0</v>
      </c>
      <c r="AM26" s="52">
        <v>597.0</v>
      </c>
      <c r="AN26" s="50">
        <f t="shared" si="24"/>
        <v>2001</v>
      </c>
      <c r="AO26" s="52">
        <v>1944.0</v>
      </c>
      <c r="AP26" s="53">
        <v>57.0</v>
      </c>
      <c r="AQ26" s="50">
        <f t="shared" si="25"/>
        <v>2001</v>
      </c>
      <c r="AR26" s="52">
        <v>1866.0</v>
      </c>
      <c r="AS26" s="52">
        <v>110.0</v>
      </c>
      <c r="AT26" s="52">
        <v>0.0</v>
      </c>
      <c r="AU26" s="52">
        <v>1.0</v>
      </c>
      <c r="AV26" s="53">
        <v>24.0</v>
      </c>
      <c r="AW26" s="45">
        <f t="shared" si="26"/>
        <v>2001</v>
      </c>
      <c r="AX26" s="51">
        <f t="shared" si="27"/>
        <v>24</v>
      </c>
      <c r="AY26" s="52">
        <v>1912.0</v>
      </c>
      <c r="AZ26" s="53">
        <v>65.0</v>
      </c>
      <c r="BA26" s="45">
        <f t="shared" si="28"/>
        <v>2001</v>
      </c>
      <c r="BB26" s="52">
        <v>827.0</v>
      </c>
      <c r="BC26" s="52">
        <v>182.0</v>
      </c>
      <c r="BD26" s="52">
        <v>43.0</v>
      </c>
      <c r="BE26" s="52">
        <v>26.0</v>
      </c>
      <c r="BF26" s="52">
        <v>6.0</v>
      </c>
      <c r="BG26" s="52">
        <v>124.0</v>
      </c>
      <c r="BH26" s="52">
        <v>39.0</v>
      </c>
      <c r="BI26" s="53">
        <v>40.0</v>
      </c>
      <c r="BJ26" s="45">
        <f t="shared" si="29"/>
        <v>1287</v>
      </c>
      <c r="BK26" s="58">
        <v>18.0</v>
      </c>
      <c r="BL26" s="58">
        <v>36.0</v>
      </c>
      <c r="BM26" s="58">
        <v>31.0</v>
      </c>
      <c r="BN26" s="58">
        <v>15.0</v>
      </c>
      <c r="BO26" s="58">
        <v>106.0</v>
      </c>
      <c r="BP26" s="58">
        <v>0.0</v>
      </c>
      <c r="BQ26" s="59">
        <v>1081.0</v>
      </c>
      <c r="BR26" s="60">
        <f t="shared" si="30"/>
        <v>1287</v>
      </c>
      <c r="BS26" s="61">
        <v>393.0</v>
      </c>
      <c r="BT26" s="58">
        <v>45.0</v>
      </c>
      <c r="BU26" s="59">
        <v>1827.0</v>
      </c>
      <c r="BV26" s="60">
        <f t="shared" si="31"/>
        <v>2265</v>
      </c>
    </row>
    <row r="27">
      <c r="B27" s="45" t="s">
        <v>47</v>
      </c>
      <c r="C27" s="62">
        <f t="shared" ref="C27:M27" si="32">SUM(C15:C26)</f>
        <v>13298</v>
      </c>
      <c r="D27" s="63">
        <f t="shared" si="32"/>
        <v>2830</v>
      </c>
      <c r="E27" s="63">
        <f t="shared" si="32"/>
        <v>421</v>
      </c>
      <c r="F27" s="64">
        <f t="shared" si="32"/>
        <v>16549</v>
      </c>
      <c r="G27" s="63">
        <f t="shared" si="32"/>
        <v>2308</v>
      </c>
      <c r="H27" s="63">
        <f t="shared" si="32"/>
        <v>2415</v>
      </c>
      <c r="I27" s="63">
        <f t="shared" si="32"/>
        <v>2208</v>
      </c>
      <c r="J27" s="63">
        <f t="shared" si="32"/>
        <v>2285</v>
      </c>
      <c r="K27" s="63">
        <f t="shared" si="32"/>
        <v>2581</v>
      </c>
      <c r="L27" s="63">
        <f t="shared" si="32"/>
        <v>2359</v>
      </c>
      <c r="M27" s="63">
        <f t="shared" si="32"/>
        <v>2393</v>
      </c>
      <c r="N27" s="50">
        <f t="shared" si="2"/>
        <v>16549</v>
      </c>
      <c r="O27" s="63">
        <f t="shared" ref="O27:BV27" si="33">SUM(O15:O26)</f>
        <v>9450</v>
      </c>
      <c r="P27" s="63">
        <f t="shared" si="33"/>
        <v>7099</v>
      </c>
      <c r="Q27" s="50">
        <f t="shared" si="33"/>
        <v>16549</v>
      </c>
      <c r="R27" s="63">
        <f t="shared" si="33"/>
        <v>8757</v>
      </c>
      <c r="S27" s="65">
        <f t="shared" si="33"/>
        <v>7792</v>
      </c>
      <c r="T27" s="50">
        <f t="shared" si="33"/>
        <v>16549</v>
      </c>
      <c r="U27" s="63">
        <f t="shared" si="33"/>
        <v>15180</v>
      </c>
      <c r="V27" s="63">
        <f t="shared" si="33"/>
        <v>3090</v>
      </c>
      <c r="W27" s="63">
        <f t="shared" si="33"/>
        <v>103</v>
      </c>
      <c r="X27" s="63">
        <f t="shared" si="33"/>
        <v>4125</v>
      </c>
      <c r="Y27" s="63">
        <f t="shared" si="33"/>
        <v>2016</v>
      </c>
      <c r="Z27" s="63">
        <f t="shared" si="33"/>
        <v>417</v>
      </c>
      <c r="AA27" s="63">
        <f t="shared" si="33"/>
        <v>435</v>
      </c>
      <c r="AB27" s="50">
        <f t="shared" si="33"/>
        <v>25366</v>
      </c>
      <c r="AC27" s="45">
        <f t="shared" si="33"/>
        <v>2840</v>
      </c>
      <c r="AD27" s="63">
        <f t="shared" si="33"/>
        <v>7970</v>
      </c>
      <c r="AE27" s="63">
        <f t="shared" si="33"/>
        <v>8146</v>
      </c>
      <c r="AF27" s="63">
        <f t="shared" si="33"/>
        <v>4365</v>
      </c>
      <c r="AG27" s="63">
        <f t="shared" si="33"/>
        <v>2045</v>
      </c>
      <c r="AH27" s="50">
        <f t="shared" si="33"/>
        <v>25366</v>
      </c>
      <c r="AI27" s="63">
        <f t="shared" si="33"/>
        <v>18005</v>
      </c>
      <c r="AJ27" s="63">
        <f t="shared" si="33"/>
        <v>7361</v>
      </c>
      <c r="AK27" s="50">
        <f t="shared" si="33"/>
        <v>25366</v>
      </c>
      <c r="AL27" s="63">
        <f t="shared" si="33"/>
        <v>17084</v>
      </c>
      <c r="AM27" s="63">
        <f t="shared" si="33"/>
        <v>8282</v>
      </c>
      <c r="AN27" s="50">
        <f t="shared" si="33"/>
        <v>25366</v>
      </c>
      <c r="AO27" s="63">
        <f t="shared" si="33"/>
        <v>24648</v>
      </c>
      <c r="AP27" s="65">
        <f t="shared" si="33"/>
        <v>718</v>
      </c>
      <c r="AQ27" s="50">
        <f t="shared" si="33"/>
        <v>25366</v>
      </c>
      <c r="AR27" s="63">
        <f t="shared" si="33"/>
        <v>19906</v>
      </c>
      <c r="AS27" s="63">
        <f t="shared" si="33"/>
        <v>4007</v>
      </c>
      <c r="AT27" s="63">
        <f t="shared" si="33"/>
        <v>23</v>
      </c>
      <c r="AU27" s="63">
        <f t="shared" si="33"/>
        <v>10</v>
      </c>
      <c r="AV27" s="65">
        <f t="shared" si="33"/>
        <v>1420</v>
      </c>
      <c r="AW27" s="50">
        <f t="shared" si="33"/>
        <v>25366</v>
      </c>
      <c r="AX27" s="62">
        <f t="shared" si="33"/>
        <v>1420</v>
      </c>
      <c r="AY27" s="63">
        <f t="shared" si="33"/>
        <v>21239</v>
      </c>
      <c r="AZ27" s="65">
        <f t="shared" si="33"/>
        <v>2707</v>
      </c>
      <c r="BA27" s="50">
        <f t="shared" si="33"/>
        <v>25366</v>
      </c>
      <c r="BB27" s="66">
        <f t="shared" si="33"/>
        <v>10854</v>
      </c>
      <c r="BC27" s="66">
        <f t="shared" si="33"/>
        <v>2200</v>
      </c>
      <c r="BD27" s="66">
        <f t="shared" si="33"/>
        <v>471</v>
      </c>
      <c r="BE27" s="66">
        <f t="shared" si="33"/>
        <v>292</v>
      </c>
      <c r="BF27" s="66">
        <f t="shared" si="33"/>
        <v>23</v>
      </c>
      <c r="BG27" s="66">
        <f t="shared" si="33"/>
        <v>1634</v>
      </c>
      <c r="BH27" s="66">
        <f t="shared" si="33"/>
        <v>933</v>
      </c>
      <c r="BI27" s="66">
        <f t="shared" si="33"/>
        <v>142</v>
      </c>
      <c r="BJ27" s="45">
        <f t="shared" si="33"/>
        <v>16549</v>
      </c>
      <c r="BK27" s="45">
        <f t="shared" si="33"/>
        <v>184</v>
      </c>
      <c r="BL27" s="45">
        <f t="shared" si="33"/>
        <v>316</v>
      </c>
      <c r="BM27" s="45">
        <f t="shared" si="33"/>
        <v>546</v>
      </c>
      <c r="BN27" s="45">
        <f t="shared" si="33"/>
        <v>96</v>
      </c>
      <c r="BO27" s="45">
        <f t="shared" si="33"/>
        <v>2203</v>
      </c>
      <c r="BP27" s="45">
        <f t="shared" si="33"/>
        <v>1</v>
      </c>
      <c r="BQ27" s="45">
        <f t="shared" si="33"/>
        <v>13203</v>
      </c>
      <c r="BR27" s="45">
        <f t="shared" si="33"/>
        <v>16549</v>
      </c>
      <c r="BS27" s="67">
        <f t="shared" si="33"/>
        <v>4379</v>
      </c>
      <c r="BT27" s="45">
        <f t="shared" si="33"/>
        <v>507</v>
      </c>
      <c r="BU27" s="45">
        <f t="shared" si="33"/>
        <v>22041</v>
      </c>
      <c r="BV27" s="45">
        <f t="shared" si="33"/>
        <v>26927</v>
      </c>
    </row>
    <row r="28">
      <c r="A28" s="23">
        <v>1439.0</v>
      </c>
      <c r="B28" s="45" t="s">
        <v>69</v>
      </c>
      <c r="C28" s="46">
        <v>5047.0</v>
      </c>
      <c r="D28" s="47">
        <v>277.0</v>
      </c>
      <c r="E28" s="48">
        <v>75.0</v>
      </c>
      <c r="F28" s="68">
        <f t="shared" ref="F28:F39" si="34">SUM(C28:E28)</f>
        <v>5399</v>
      </c>
      <c r="G28" s="47">
        <v>919.0</v>
      </c>
      <c r="H28" s="47">
        <v>781.0</v>
      </c>
      <c r="I28" s="47">
        <v>625.0</v>
      </c>
      <c r="J28" s="47">
        <v>814.0</v>
      </c>
      <c r="K28" s="47">
        <v>702.0</v>
      </c>
      <c r="L28" s="47">
        <v>775.0</v>
      </c>
      <c r="M28" s="48">
        <v>783.0</v>
      </c>
      <c r="N28" s="45">
        <f t="shared" ref="N28:N35" si="35">G28+H28+I28+J28+K28++L28+M28</f>
        <v>5399</v>
      </c>
      <c r="O28" s="47">
        <v>2819.0</v>
      </c>
      <c r="P28" s="48">
        <v>2580.0</v>
      </c>
      <c r="Q28" s="45">
        <f t="shared" ref="Q28:Q39" si="36">SUM(O28:P28)</f>
        <v>5399</v>
      </c>
      <c r="R28" s="47">
        <v>2452.0</v>
      </c>
      <c r="S28" s="48">
        <v>2947.0</v>
      </c>
      <c r="T28" s="45">
        <f t="shared" ref="T28:T39" si="37">SUM(R28:S28)</f>
        <v>5399</v>
      </c>
      <c r="U28" s="47">
        <v>1214.0</v>
      </c>
      <c r="V28" s="47">
        <v>1561.0</v>
      </c>
      <c r="W28" s="47">
        <v>63.0</v>
      </c>
      <c r="X28" s="47">
        <v>984.0</v>
      </c>
      <c r="Y28" s="47">
        <v>1475.0</v>
      </c>
      <c r="Z28" s="47">
        <v>102.0</v>
      </c>
      <c r="AA28" s="48">
        <v>0.0</v>
      </c>
      <c r="AB28" s="45">
        <f t="shared" ref="AB28:AB39" si="38">SUM(U28:AA28)</f>
        <v>5399</v>
      </c>
      <c r="AC28" s="47">
        <v>2417.0</v>
      </c>
      <c r="AD28" s="47">
        <v>4583.0</v>
      </c>
      <c r="AE28" s="47">
        <v>4390.0</v>
      </c>
      <c r="AF28" s="47">
        <v>1264.0</v>
      </c>
      <c r="AG28" s="47">
        <v>274.0</v>
      </c>
      <c r="AH28" s="45">
        <f t="shared" ref="AH28:AH39" si="39">SUM(AC28:AG28)</f>
        <v>12928</v>
      </c>
      <c r="AI28" s="47">
        <v>9522.0</v>
      </c>
      <c r="AJ28" s="47">
        <v>3406.0</v>
      </c>
      <c r="AK28" s="45">
        <f t="shared" ref="AK28:AK39" si="40">SUM(AI28:AJ28)</f>
        <v>12928</v>
      </c>
      <c r="AL28" s="47">
        <v>8115.0</v>
      </c>
      <c r="AM28" s="47">
        <v>4813.0</v>
      </c>
      <c r="AN28" s="45">
        <f t="shared" ref="AN28:AN39" si="41">SUM(AL28:AM28)</f>
        <v>12928</v>
      </c>
      <c r="AO28" s="47">
        <v>12901.0</v>
      </c>
      <c r="AP28" s="48">
        <v>27.0</v>
      </c>
      <c r="AQ28" s="45">
        <f t="shared" ref="AQ28:AQ39" si="42">SUM(AO28:AP28)</f>
        <v>12928</v>
      </c>
      <c r="AR28" s="47">
        <v>7892.0</v>
      </c>
      <c r="AS28" s="47">
        <v>2480.0</v>
      </c>
      <c r="AT28" s="47">
        <v>0.0</v>
      </c>
      <c r="AU28" s="47">
        <v>0.0</v>
      </c>
      <c r="AV28" s="48">
        <v>2556.0</v>
      </c>
      <c r="AW28" s="45">
        <f>+AR28+AS28+AT28+AU28+AV28</f>
        <v>12928</v>
      </c>
      <c r="AX28" s="51">
        <f t="shared" ref="AX28:AX39" si="43">AV28</f>
        <v>2556</v>
      </c>
      <c r="AY28" s="47">
        <v>8611.0</v>
      </c>
      <c r="AZ28" s="48">
        <v>1761.0</v>
      </c>
      <c r="BA28" s="45">
        <f t="shared" ref="BA28:BA39" si="44">SUM(AX28:AZ28)</f>
        <v>12928</v>
      </c>
      <c r="BB28" s="52">
        <v>1647.0</v>
      </c>
      <c r="BC28" s="52">
        <v>1542.0</v>
      </c>
      <c r="BD28" s="52">
        <v>0.0</v>
      </c>
      <c r="BE28" s="52">
        <v>1.0</v>
      </c>
      <c r="BF28" s="52">
        <v>0.0</v>
      </c>
      <c r="BG28" s="52">
        <v>1132.0</v>
      </c>
      <c r="BH28" s="52">
        <v>261.0</v>
      </c>
      <c r="BI28" s="52">
        <v>816.0</v>
      </c>
      <c r="BJ28" s="69">
        <f t="shared" ref="BJ28:BJ39" si="45">SUM(BB28:BI28)</f>
        <v>5399</v>
      </c>
      <c r="BK28" s="70">
        <v>1022.0</v>
      </c>
      <c r="BL28" s="71">
        <v>974.0</v>
      </c>
      <c r="BM28" s="72">
        <v>891.0</v>
      </c>
      <c r="BN28" s="72">
        <v>1208.0</v>
      </c>
      <c r="BO28" s="72">
        <v>1304.0</v>
      </c>
      <c r="BP28" s="72">
        <v>0.0</v>
      </c>
      <c r="BQ28" s="73">
        <v>0.0</v>
      </c>
      <c r="BR28" s="69">
        <f t="shared" ref="BR28:BR39" si="46">SUM(BK28:BQ28)</f>
        <v>5399</v>
      </c>
      <c r="BS28" s="74">
        <v>393.0</v>
      </c>
      <c r="BT28" s="75">
        <v>100.0</v>
      </c>
      <c r="BU28" s="75">
        <v>12435.0</v>
      </c>
      <c r="BV28" s="45">
        <f t="shared" ref="BV28:BV39" si="47">SUM(BS28:BU28)</f>
        <v>12928</v>
      </c>
    </row>
    <row r="29">
      <c r="B29" s="45" t="s">
        <v>70</v>
      </c>
      <c r="C29" s="55">
        <v>5941.0</v>
      </c>
      <c r="D29" s="52">
        <v>255.0</v>
      </c>
      <c r="E29" s="53">
        <v>78.0</v>
      </c>
      <c r="F29" s="68">
        <f t="shared" si="34"/>
        <v>6274</v>
      </c>
      <c r="G29" s="52">
        <v>1427.0</v>
      </c>
      <c r="H29" s="52">
        <v>1407.0</v>
      </c>
      <c r="I29" s="52">
        <v>1434.0</v>
      </c>
      <c r="J29" s="52">
        <v>857.0</v>
      </c>
      <c r="K29" s="52">
        <v>421.0</v>
      </c>
      <c r="L29" s="52">
        <v>388.0</v>
      </c>
      <c r="M29" s="53">
        <v>340.0</v>
      </c>
      <c r="N29" s="45">
        <f t="shared" si="35"/>
        <v>6274</v>
      </c>
      <c r="O29" s="52">
        <v>4589.0</v>
      </c>
      <c r="P29" s="53">
        <v>1685.0</v>
      </c>
      <c r="Q29" s="45">
        <f t="shared" si="36"/>
        <v>6274</v>
      </c>
      <c r="R29" s="52">
        <v>5367.0</v>
      </c>
      <c r="S29" s="53">
        <v>907.0</v>
      </c>
      <c r="T29" s="45">
        <f t="shared" si="37"/>
        <v>6274</v>
      </c>
      <c r="U29" s="52">
        <v>849.0</v>
      </c>
      <c r="V29" s="52">
        <v>663.0</v>
      </c>
      <c r="W29" s="52">
        <v>45.0</v>
      </c>
      <c r="X29" s="52">
        <v>79.0</v>
      </c>
      <c r="Y29" s="52">
        <v>1062.0</v>
      </c>
      <c r="Z29" s="52">
        <v>55.0</v>
      </c>
      <c r="AA29" s="53">
        <v>0.0</v>
      </c>
      <c r="AB29" s="45">
        <f t="shared" si="38"/>
        <v>2753</v>
      </c>
      <c r="AC29" s="52">
        <v>1843.0</v>
      </c>
      <c r="AD29" s="52">
        <v>2281.0</v>
      </c>
      <c r="AE29" s="52">
        <v>2452.0</v>
      </c>
      <c r="AF29" s="52">
        <v>2053.0</v>
      </c>
      <c r="AG29" s="52">
        <v>1012.0</v>
      </c>
      <c r="AH29" s="45">
        <f t="shared" si="39"/>
        <v>9641</v>
      </c>
      <c r="AI29" s="52">
        <v>5968.0</v>
      </c>
      <c r="AJ29" s="52">
        <v>3673.0</v>
      </c>
      <c r="AK29" s="45">
        <f t="shared" si="40"/>
        <v>9641</v>
      </c>
      <c r="AL29" s="52">
        <v>4883.0</v>
      </c>
      <c r="AM29" s="52">
        <v>4758.0</v>
      </c>
      <c r="AN29" s="45">
        <f t="shared" si="41"/>
        <v>9641</v>
      </c>
      <c r="AO29" s="52">
        <v>9594.0</v>
      </c>
      <c r="AP29" s="53">
        <v>47.0</v>
      </c>
      <c r="AQ29" s="45">
        <f t="shared" si="42"/>
        <v>9641</v>
      </c>
      <c r="AR29" s="52">
        <v>5072.0</v>
      </c>
      <c r="AS29" s="52">
        <v>2375.0</v>
      </c>
      <c r="AT29" s="52">
        <v>0.0</v>
      </c>
      <c r="AU29" s="52">
        <v>0.0</v>
      </c>
      <c r="AV29" s="53">
        <v>2194.0</v>
      </c>
      <c r="AW29" s="45">
        <f t="shared" ref="AW29:AW39" si="48">SUM(AR29:AV29)</f>
        <v>9641</v>
      </c>
      <c r="AX29" s="51">
        <f t="shared" si="43"/>
        <v>2194</v>
      </c>
      <c r="AY29" s="52">
        <v>5796.0</v>
      </c>
      <c r="AZ29" s="53">
        <v>1651.0</v>
      </c>
      <c r="BA29" s="45">
        <f t="shared" si="44"/>
        <v>9641</v>
      </c>
      <c r="BB29" s="52">
        <v>2287.0</v>
      </c>
      <c r="BC29" s="52">
        <v>2274.0</v>
      </c>
      <c r="BD29" s="52">
        <v>0.0</v>
      </c>
      <c r="BE29" s="52">
        <v>3.0</v>
      </c>
      <c r="BF29" s="52">
        <v>0.0</v>
      </c>
      <c r="BG29" s="52">
        <v>1331.0</v>
      </c>
      <c r="BH29" s="52">
        <v>117.0</v>
      </c>
      <c r="BI29" s="52">
        <v>262.0</v>
      </c>
      <c r="BJ29" s="69">
        <f t="shared" si="45"/>
        <v>6274</v>
      </c>
      <c r="BK29" s="70">
        <v>1700.0</v>
      </c>
      <c r="BL29" s="71">
        <v>1940.0</v>
      </c>
      <c r="BM29" s="72">
        <v>898.0</v>
      </c>
      <c r="BN29" s="72">
        <v>739.0</v>
      </c>
      <c r="BO29" s="72">
        <v>997.0</v>
      </c>
      <c r="BP29" s="72">
        <v>0.0</v>
      </c>
      <c r="BQ29" s="73">
        <v>0.0</v>
      </c>
      <c r="BR29" s="69">
        <f t="shared" si="46"/>
        <v>6274</v>
      </c>
      <c r="BS29" s="74">
        <v>433.0</v>
      </c>
      <c r="BT29" s="75">
        <v>98.0</v>
      </c>
      <c r="BU29" s="75">
        <v>9110.0</v>
      </c>
      <c r="BV29" s="45">
        <f t="shared" si="47"/>
        <v>9641</v>
      </c>
    </row>
    <row r="30">
      <c r="B30" s="45" t="s">
        <v>71</v>
      </c>
      <c r="C30" s="55">
        <v>7808.0</v>
      </c>
      <c r="D30" s="52">
        <v>271.0</v>
      </c>
      <c r="E30" s="53">
        <v>87.0</v>
      </c>
      <c r="F30" s="68">
        <f t="shared" si="34"/>
        <v>8166</v>
      </c>
      <c r="G30" s="52">
        <v>1209.0</v>
      </c>
      <c r="H30" s="52">
        <v>1435.0</v>
      </c>
      <c r="I30" s="52">
        <v>1121.0</v>
      </c>
      <c r="J30" s="52">
        <v>1122.0</v>
      </c>
      <c r="K30" s="52">
        <v>1140.0</v>
      </c>
      <c r="L30" s="52">
        <v>1063.0</v>
      </c>
      <c r="M30" s="53">
        <v>1076.0</v>
      </c>
      <c r="N30" s="45">
        <f t="shared" si="35"/>
        <v>8166</v>
      </c>
      <c r="O30" s="52">
        <v>4896.0</v>
      </c>
      <c r="P30" s="53">
        <v>3270.0</v>
      </c>
      <c r="Q30" s="45">
        <f t="shared" si="36"/>
        <v>8166</v>
      </c>
      <c r="R30" s="52">
        <v>3987.0</v>
      </c>
      <c r="S30" s="53">
        <v>4179.0</v>
      </c>
      <c r="T30" s="45">
        <f t="shared" si="37"/>
        <v>8166</v>
      </c>
      <c r="U30" s="52">
        <v>2377.0</v>
      </c>
      <c r="V30" s="52">
        <v>1648.0</v>
      </c>
      <c r="W30" s="52">
        <v>422.0</v>
      </c>
      <c r="X30" s="52">
        <v>1763.0</v>
      </c>
      <c r="Y30" s="52">
        <v>1055.0</v>
      </c>
      <c r="Z30" s="52">
        <v>901.0</v>
      </c>
      <c r="AA30" s="53">
        <v>0.0</v>
      </c>
      <c r="AB30" s="45">
        <f t="shared" si="38"/>
        <v>8166</v>
      </c>
      <c r="AC30" s="52">
        <v>2722.0</v>
      </c>
      <c r="AD30" s="52">
        <v>3833.0</v>
      </c>
      <c r="AE30" s="52">
        <v>3697.0</v>
      </c>
      <c r="AF30" s="52">
        <v>3841.0</v>
      </c>
      <c r="AG30" s="52">
        <v>1852.0</v>
      </c>
      <c r="AH30" s="45">
        <f t="shared" si="39"/>
        <v>15945</v>
      </c>
      <c r="AI30" s="52">
        <v>9576.0</v>
      </c>
      <c r="AJ30" s="52">
        <v>6369.0</v>
      </c>
      <c r="AK30" s="45">
        <f t="shared" si="40"/>
        <v>15945</v>
      </c>
      <c r="AL30" s="52">
        <v>10286.0</v>
      </c>
      <c r="AM30" s="52">
        <v>5659.0</v>
      </c>
      <c r="AN30" s="45">
        <f t="shared" si="41"/>
        <v>15945</v>
      </c>
      <c r="AO30" s="52">
        <v>15844.0</v>
      </c>
      <c r="AP30" s="53">
        <v>101.0</v>
      </c>
      <c r="AQ30" s="45">
        <f t="shared" si="42"/>
        <v>15945</v>
      </c>
      <c r="AR30" s="52">
        <v>6947.0</v>
      </c>
      <c r="AS30" s="52">
        <v>4399.0</v>
      </c>
      <c r="AT30" s="52">
        <v>0.0</v>
      </c>
      <c r="AU30" s="52">
        <v>0.0</v>
      </c>
      <c r="AV30" s="53">
        <v>4599.0</v>
      </c>
      <c r="AW30" s="45">
        <f t="shared" si="48"/>
        <v>15945</v>
      </c>
      <c r="AX30" s="51">
        <f t="shared" si="43"/>
        <v>4599</v>
      </c>
      <c r="AY30" s="52">
        <v>9285.0</v>
      </c>
      <c r="AZ30" s="53">
        <v>2061.0</v>
      </c>
      <c r="BA30" s="45">
        <f t="shared" si="44"/>
        <v>15945</v>
      </c>
      <c r="BB30" s="52">
        <v>3195.0</v>
      </c>
      <c r="BC30" s="52">
        <v>2286.0</v>
      </c>
      <c r="BD30" s="52">
        <v>0.0</v>
      </c>
      <c r="BE30" s="52">
        <v>2.0</v>
      </c>
      <c r="BF30" s="52">
        <v>0.0</v>
      </c>
      <c r="BG30" s="52">
        <v>566.0</v>
      </c>
      <c r="BH30" s="52">
        <v>546.0</v>
      </c>
      <c r="BI30" s="52">
        <v>1571.0</v>
      </c>
      <c r="BJ30" s="69">
        <f t="shared" si="45"/>
        <v>8166</v>
      </c>
      <c r="BK30" s="70">
        <v>1669.0</v>
      </c>
      <c r="BL30" s="71">
        <v>1418.0</v>
      </c>
      <c r="BM30" s="72">
        <v>1255.0</v>
      </c>
      <c r="BN30" s="72">
        <v>1380.0</v>
      </c>
      <c r="BO30" s="72">
        <v>2444.0</v>
      </c>
      <c r="BP30" s="72">
        <v>0.0</v>
      </c>
      <c r="BQ30" s="73">
        <v>0.0</v>
      </c>
      <c r="BR30" s="69">
        <f t="shared" si="46"/>
        <v>8166</v>
      </c>
      <c r="BS30" s="74">
        <v>455.0</v>
      </c>
      <c r="BT30" s="75">
        <v>105.0</v>
      </c>
      <c r="BU30" s="75">
        <v>15385.0</v>
      </c>
      <c r="BV30" s="45">
        <f t="shared" si="47"/>
        <v>15945</v>
      </c>
    </row>
    <row r="31">
      <c r="B31" s="45" t="s">
        <v>72</v>
      </c>
      <c r="C31" s="55">
        <v>7821.0</v>
      </c>
      <c r="D31" s="52">
        <v>266.0</v>
      </c>
      <c r="E31" s="53">
        <v>79.0</v>
      </c>
      <c r="F31" s="68">
        <f t="shared" si="34"/>
        <v>8166</v>
      </c>
      <c r="G31" s="52">
        <v>1368.0</v>
      </c>
      <c r="H31" s="52">
        <v>1436.0</v>
      </c>
      <c r="I31" s="52">
        <v>1094.0</v>
      </c>
      <c r="J31" s="52">
        <v>1054.0</v>
      </c>
      <c r="K31" s="52">
        <v>1085.0</v>
      </c>
      <c r="L31" s="52">
        <v>1076.0</v>
      </c>
      <c r="M31" s="53">
        <v>1053.0</v>
      </c>
      <c r="N31" s="45">
        <f t="shared" si="35"/>
        <v>8166</v>
      </c>
      <c r="O31" s="52">
        <v>4274.0</v>
      </c>
      <c r="P31" s="53">
        <v>3892.0</v>
      </c>
      <c r="Q31" s="45">
        <f t="shared" si="36"/>
        <v>8166</v>
      </c>
      <c r="R31" s="52">
        <v>4501.0</v>
      </c>
      <c r="S31" s="53">
        <v>3665.0</v>
      </c>
      <c r="T31" s="45">
        <f t="shared" si="37"/>
        <v>8166</v>
      </c>
      <c r="U31" s="52">
        <v>2114.0</v>
      </c>
      <c r="V31" s="52">
        <v>1648.0</v>
      </c>
      <c r="W31" s="52">
        <v>758.0</v>
      </c>
      <c r="X31" s="52">
        <v>1789.0</v>
      </c>
      <c r="Y31" s="52">
        <v>1147.0</v>
      </c>
      <c r="Z31" s="52">
        <v>710.0</v>
      </c>
      <c r="AA31" s="53">
        <v>0.0</v>
      </c>
      <c r="AB31" s="45">
        <f t="shared" si="38"/>
        <v>8166</v>
      </c>
      <c r="AC31" s="52">
        <v>2855.0</v>
      </c>
      <c r="AD31" s="52">
        <v>3796.0</v>
      </c>
      <c r="AE31" s="52">
        <v>3541.0</v>
      </c>
      <c r="AF31" s="52">
        <v>3280.0</v>
      </c>
      <c r="AG31" s="52">
        <v>1709.0</v>
      </c>
      <c r="AH31" s="45">
        <f t="shared" si="39"/>
        <v>15181</v>
      </c>
      <c r="AI31" s="52">
        <v>8645.0</v>
      </c>
      <c r="AJ31" s="52">
        <v>6536.0</v>
      </c>
      <c r="AK31" s="45">
        <f t="shared" si="40"/>
        <v>15181</v>
      </c>
      <c r="AL31" s="52">
        <v>10223.0</v>
      </c>
      <c r="AM31" s="52">
        <v>4958.0</v>
      </c>
      <c r="AN31" s="45">
        <f t="shared" si="41"/>
        <v>15181</v>
      </c>
      <c r="AO31" s="52">
        <v>14894.0</v>
      </c>
      <c r="AP31" s="53">
        <v>287.0</v>
      </c>
      <c r="AQ31" s="45">
        <f t="shared" si="42"/>
        <v>15181</v>
      </c>
      <c r="AR31" s="52">
        <v>6685.0</v>
      </c>
      <c r="AS31" s="52">
        <v>4277.0</v>
      </c>
      <c r="AT31" s="52">
        <v>0.0</v>
      </c>
      <c r="AU31" s="52">
        <v>0.0</v>
      </c>
      <c r="AV31" s="53">
        <v>4219.0</v>
      </c>
      <c r="AW31" s="45">
        <f t="shared" si="48"/>
        <v>15181</v>
      </c>
      <c r="AX31" s="51">
        <f t="shared" si="43"/>
        <v>4219</v>
      </c>
      <c r="AY31" s="52">
        <v>8141.0</v>
      </c>
      <c r="AZ31" s="53">
        <v>2821.0</v>
      </c>
      <c r="BA31" s="45">
        <f t="shared" si="44"/>
        <v>15181</v>
      </c>
      <c r="BB31" s="52">
        <v>3398.0</v>
      </c>
      <c r="BC31" s="52">
        <v>2118.0</v>
      </c>
      <c r="BD31" s="52">
        <v>0.0</v>
      </c>
      <c r="BE31" s="52">
        <v>0.0</v>
      </c>
      <c r="BF31" s="52">
        <v>2.0</v>
      </c>
      <c r="BG31" s="52">
        <v>524.0</v>
      </c>
      <c r="BH31" s="52">
        <v>547.0</v>
      </c>
      <c r="BI31" s="52">
        <v>1577.0</v>
      </c>
      <c r="BJ31" s="69">
        <f t="shared" si="45"/>
        <v>8166</v>
      </c>
      <c r="BK31" s="70">
        <v>1688.0</v>
      </c>
      <c r="BL31" s="71">
        <v>1608.0</v>
      </c>
      <c r="BM31" s="72">
        <v>1512.0</v>
      </c>
      <c r="BN31" s="72">
        <v>1366.0</v>
      </c>
      <c r="BO31" s="72">
        <v>1992.0</v>
      </c>
      <c r="BP31" s="72">
        <v>0.0</v>
      </c>
      <c r="BQ31" s="73">
        <v>0.0</v>
      </c>
      <c r="BR31" s="69">
        <f t="shared" si="46"/>
        <v>8166</v>
      </c>
      <c r="BS31" s="74">
        <v>427.0</v>
      </c>
      <c r="BT31" s="75">
        <v>91.0</v>
      </c>
      <c r="BU31" s="75">
        <v>15181.0</v>
      </c>
      <c r="BV31" s="45">
        <f t="shared" si="47"/>
        <v>15699</v>
      </c>
    </row>
    <row r="32">
      <c r="B32" s="56" t="s">
        <v>73</v>
      </c>
      <c r="C32" s="55">
        <v>7923.0</v>
      </c>
      <c r="D32" s="52">
        <v>237.0</v>
      </c>
      <c r="E32" s="53">
        <v>81.0</v>
      </c>
      <c r="F32" s="68">
        <f t="shared" si="34"/>
        <v>8241</v>
      </c>
      <c r="G32" s="52">
        <v>1410.0</v>
      </c>
      <c r="H32" s="52">
        <v>1298.0</v>
      </c>
      <c r="I32" s="52">
        <v>1014.0</v>
      </c>
      <c r="J32" s="52">
        <v>1088.0</v>
      </c>
      <c r="K32" s="52">
        <v>1110.0</v>
      </c>
      <c r="L32" s="52">
        <v>1125.0</v>
      </c>
      <c r="M32" s="53">
        <v>1196.0</v>
      </c>
      <c r="N32" s="45">
        <f t="shared" si="35"/>
        <v>8241</v>
      </c>
      <c r="O32" s="52">
        <v>4321.0</v>
      </c>
      <c r="P32" s="53">
        <v>3920.0</v>
      </c>
      <c r="Q32" s="45">
        <f t="shared" si="36"/>
        <v>8241</v>
      </c>
      <c r="R32" s="52">
        <v>4320.0</v>
      </c>
      <c r="S32" s="53">
        <v>3921.0</v>
      </c>
      <c r="T32" s="45">
        <f t="shared" si="37"/>
        <v>8241</v>
      </c>
      <c r="U32" s="52">
        <v>2118.0</v>
      </c>
      <c r="V32" s="52">
        <v>1759.0</v>
      </c>
      <c r="W32" s="52">
        <v>512.0</v>
      </c>
      <c r="X32" s="52">
        <v>1923.0</v>
      </c>
      <c r="Y32" s="52">
        <v>1126.0</v>
      </c>
      <c r="Z32" s="52">
        <v>803.0</v>
      </c>
      <c r="AA32" s="53">
        <v>0.0</v>
      </c>
      <c r="AB32" s="45">
        <f t="shared" si="38"/>
        <v>8241</v>
      </c>
      <c r="AC32" s="52">
        <v>2844.0</v>
      </c>
      <c r="AD32" s="52">
        <v>3862.0</v>
      </c>
      <c r="AE32" s="52">
        <v>3623.0</v>
      </c>
      <c r="AF32" s="52">
        <v>3841.0</v>
      </c>
      <c r="AG32" s="52">
        <v>1721.0</v>
      </c>
      <c r="AH32" s="45">
        <f t="shared" si="39"/>
        <v>15891</v>
      </c>
      <c r="AI32" s="52">
        <v>9428.0</v>
      </c>
      <c r="AJ32" s="52">
        <v>6463.0</v>
      </c>
      <c r="AK32" s="45">
        <f t="shared" si="40"/>
        <v>15891</v>
      </c>
      <c r="AL32" s="52">
        <v>10322.0</v>
      </c>
      <c r="AM32" s="52">
        <v>5569.0</v>
      </c>
      <c r="AN32" s="45">
        <f t="shared" si="41"/>
        <v>15891</v>
      </c>
      <c r="AO32" s="52">
        <v>15819.0</v>
      </c>
      <c r="AP32" s="53">
        <v>72.0</v>
      </c>
      <c r="AQ32" s="45">
        <f t="shared" si="42"/>
        <v>15891</v>
      </c>
      <c r="AR32" s="52">
        <v>6544.0</v>
      </c>
      <c r="AS32" s="52">
        <v>4377.0</v>
      </c>
      <c r="AT32" s="52">
        <v>0.0</v>
      </c>
      <c r="AU32" s="52">
        <v>0.0</v>
      </c>
      <c r="AV32" s="53">
        <v>4970.0</v>
      </c>
      <c r="AW32" s="45">
        <f t="shared" si="48"/>
        <v>15891</v>
      </c>
      <c r="AX32" s="51">
        <f t="shared" si="43"/>
        <v>4970</v>
      </c>
      <c r="AY32" s="52">
        <v>8176.0</v>
      </c>
      <c r="AZ32" s="53">
        <v>2745.0</v>
      </c>
      <c r="BA32" s="45">
        <f t="shared" si="44"/>
        <v>15891</v>
      </c>
      <c r="BB32" s="52">
        <v>3973.0</v>
      </c>
      <c r="BC32" s="52">
        <v>2387.0</v>
      </c>
      <c r="BD32" s="52">
        <v>0.0</v>
      </c>
      <c r="BE32" s="52">
        <v>1.0</v>
      </c>
      <c r="BF32" s="52">
        <v>1.0</v>
      </c>
      <c r="BG32" s="52">
        <v>526.0</v>
      </c>
      <c r="BH32" s="52">
        <v>639.0</v>
      </c>
      <c r="BI32" s="52">
        <v>714.0</v>
      </c>
      <c r="BJ32" s="69">
        <f t="shared" si="45"/>
        <v>8241</v>
      </c>
      <c r="BK32" s="70">
        <v>1758.0</v>
      </c>
      <c r="BL32" s="71">
        <v>1511.0</v>
      </c>
      <c r="BM32" s="72">
        <v>1318.0</v>
      </c>
      <c r="BN32" s="72">
        <v>1426.0</v>
      </c>
      <c r="BO32" s="72">
        <v>2228.0</v>
      </c>
      <c r="BP32" s="72">
        <v>0.0</v>
      </c>
      <c r="BQ32" s="73">
        <v>0.0</v>
      </c>
      <c r="BR32" s="69">
        <f t="shared" si="46"/>
        <v>8241</v>
      </c>
      <c r="BS32" s="74">
        <v>358.0</v>
      </c>
      <c r="BT32" s="75">
        <v>96.0</v>
      </c>
      <c r="BU32" s="75">
        <v>15437.0</v>
      </c>
      <c r="BV32" s="45">
        <f t="shared" si="47"/>
        <v>15891</v>
      </c>
    </row>
    <row r="33">
      <c r="B33" s="56" t="s">
        <v>74</v>
      </c>
      <c r="C33" s="55">
        <v>6449.0</v>
      </c>
      <c r="D33" s="52">
        <v>259.0</v>
      </c>
      <c r="E33" s="53">
        <v>79.0</v>
      </c>
      <c r="F33" s="68">
        <f t="shared" si="34"/>
        <v>6787</v>
      </c>
      <c r="G33" s="52">
        <v>1015.0</v>
      </c>
      <c r="H33" s="52">
        <v>1003.0</v>
      </c>
      <c r="I33" s="52">
        <v>941.0</v>
      </c>
      <c r="J33" s="52">
        <v>956.0</v>
      </c>
      <c r="K33" s="52">
        <v>996.0</v>
      </c>
      <c r="L33" s="52">
        <v>991.0</v>
      </c>
      <c r="M33" s="53">
        <v>885.0</v>
      </c>
      <c r="N33" s="45">
        <f t="shared" si="35"/>
        <v>6787</v>
      </c>
      <c r="O33" s="52">
        <v>3211.0</v>
      </c>
      <c r="P33" s="53">
        <v>3576.0</v>
      </c>
      <c r="Q33" s="45">
        <f t="shared" si="36"/>
        <v>6787</v>
      </c>
      <c r="R33" s="52">
        <v>3961.0</v>
      </c>
      <c r="S33" s="53">
        <v>2826.0</v>
      </c>
      <c r="T33" s="45">
        <f t="shared" si="37"/>
        <v>6787</v>
      </c>
      <c r="U33" s="52">
        <v>2579.0</v>
      </c>
      <c r="V33" s="52">
        <v>1246.0</v>
      </c>
      <c r="W33" s="52">
        <v>339.0</v>
      </c>
      <c r="X33" s="52">
        <v>721.0</v>
      </c>
      <c r="Y33" s="52">
        <v>1044.0</v>
      </c>
      <c r="Z33" s="52">
        <v>858.0</v>
      </c>
      <c r="AA33" s="53">
        <v>0.0</v>
      </c>
      <c r="AB33" s="45">
        <f t="shared" si="38"/>
        <v>6787</v>
      </c>
      <c r="AC33" s="52">
        <v>2386.0</v>
      </c>
      <c r="AD33" s="52">
        <v>3864.0</v>
      </c>
      <c r="AE33" s="52">
        <v>3129.0</v>
      </c>
      <c r="AF33" s="52">
        <v>3285.0</v>
      </c>
      <c r="AG33" s="52">
        <v>1215.0</v>
      </c>
      <c r="AH33" s="45">
        <f t="shared" si="39"/>
        <v>13879</v>
      </c>
      <c r="AI33" s="52">
        <v>7821.0</v>
      </c>
      <c r="AJ33" s="52">
        <v>6058.0</v>
      </c>
      <c r="AK33" s="45">
        <f t="shared" si="40"/>
        <v>13879</v>
      </c>
      <c r="AL33" s="52">
        <v>6873.0</v>
      </c>
      <c r="AM33" s="52">
        <v>7006.0</v>
      </c>
      <c r="AN33" s="45">
        <f t="shared" si="41"/>
        <v>13879</v>
      </c>
      <c r="AO33" s="52">
        <v>13801.0</v>
      </c>
      <c r="AP33" s="53">
        <v>78.0</v>
      </c>
      <c r="AQ33" s="45">
        <f t="shared" si="42"/>
        <v>13879</v>
      </c>
      <c r="AR33" s="52">
        <v>5399.0</v>
      </c>
      <c r="AS33" s="52">
        <v>4582.0</v>
      </c>
      <c r="AT33" s="52">
        <v>0.0</v>
      </c>
      <c r="AU33" s="52">
        <v>0.0</v>
      </c>
      <c r="AV33" s="53">
        <v>3898.0</v>
      </c>
      <c r="AW33" s="45">
        <f t="shared" si="48"/>
        <v>13879</v>
      </c>
      <c r="AX33" s="51">
        <f t="shared" si="43"/>
        <v>3898</v>
      </c>
      <c r="AY33" s="52">
        <v>7489.0</v>
      </c>
      <c r="AZ33" s="53">
        <v>2492.0</v>
      </c>
      <c r="BA33" s="45">
        <f t="shared" si="44"/>
        <v>13879</v>
      </c>
      <c r="BB33" s="52">
        <v>3736.0</v>
      </c>
      <c r="BC33" s="52">
        <v>1309.0</v>
      </c>
      <c r="BD33" s="52">
        <v>0.0</v>
      </c>
      <c r="BE33" s="52">
        <v>1.0</v>
      </c>
      <c r="BF33" s="52">
        <v>13.0</v>
      </c>
      <c r="BG33" s="52">
        <v>643.0</v>
      </c>
      <c r="BH33" s="52">
        <v>794.0</v>
      </c>
      <c r="BI33" s="52">
        <v>291.0</v>
      </c>
      <c r="BJ33" s="69">
        <f t="shared" si="45"/>
        <v>6787</v>
      </c>
      <c r="BK33" s="70">
        <v>1209.0</v>
      </c>
      <c r="BL33" s="71">
        <v>581.0</v>
      </c>
      <c r="BM33" s="72">
        <v>1187.0</v>
      </c>
      <c r="BN33" s="72">
        <v>1719.0</v>
      </c>
      <c r="BO33" s="72">
        <v>2091.0</v>
      </c>
      <c r="BP33" s="72">
        <v>0.0</v>
      </c>
      <c r="BQ33" s="73">
        <v>0.0</v>
      </c>
      <c r="BR33" s="69">
        <f t="shared" si="46"/>
        <v>6787</v>
      </c>
      <c r="BS33" s="74">
        <v>379.0</v>
      </c>
      <c r="BT33" s="75">
        <v>96.0</v>
      </c>
      <c r="BU33" s="75">
        <v>13404.0</v>
      </c>
      <c r="BV33" s="45">
        <f t="shared" si="47"/>
        <v>13879</v>
      </c>
    </row>
    <row r="34">
      <c r="B34" s="45" t="s">
        <v>75</v>
      </c>
      <c r="C34" s="55">
        <v>6955.0</v>
      </c>
      <c r="D34" s="52">
        <v>227.0</v>
      </c>
      <c r="E34" s="53">
        <v>65.0</v>
      </c>
      <c r="F34" s="68">
        <f t="shared" si="34"/>
        <v>7247</v>
      </c>
      <c r="G34" s="52">
        <v>1164.0</v>
      </c>
      <c r="H34" s="52">
        <v>1222.0</v>
      </c>
      <c r="I34" s="52">
        <v>1015.0</v>
      </c>
      <c r="J34" s="52">
        <v>1051.0</v>
      </c>
      <c r="K34" s="52">
        <v>1023.0</v>
      </c>
      <c r="L34" s="52">
        <v>863.0</v>
      </c>
      <c r="M34" s="53">
        <v>909.0</v>
      </c>
      <c r="N34" s="45">
        <f t="shared" si="35"/>
        <v>7247</v>
      </c>
      <c r="O34" s="52">
        <v>3839.0</v>
      </c>
      <c r="P34" s="53">
        <v>3408.0</v>
      </c>
      <c r="Q34" s="45">
        <f t="shared" si="36"/>
        <v>7247</v>
      </c>
      <c r="R34" s="52">
        <v>3788.0</v>
      </c>
      <c r="S34" s="53">
        <v>3459.0</v>
      </c>
      <c r="T34" s="45">
        <f t="shared" si="37"/>
        <v>7247</v>
      </c>
      <c r="U34" s="52">
        <v>2347.0</v>
      </c>
      <c r="V34" s="52">
        <v>1908.0</v>
      </c>
      <c r="W34" s="52">
        <v>64.0</v>
      </c>
      <c r="X34" s="52">
        <v>983.0</v>
      </c>
      <c r="Y34" s="52">
        <v>1419.0</v>
      </c>
      <c r="Z34" s="52">
        <v>526.0</v>
      </c>
      <c r="AA34" s="53">
        <v>0.0</v>
      </c>
      <c r="AB34" s="45">
        <f t="shared" si="38"/>
        <v>7247</v>
      </c>
      <c r="AC34" s="52">
        <v>2916.0</v>
      </c>
      <c r="AD34" s="52">
        <v>3605.0</v>
      </c>
      <c r="AE34" s="52">
        <v>3411.0</v>
      </c>
      <c r="AF34" s="52">
        <v>3629.0</v>
      </c>
      <c r="AG34" s="52">
        <v>1185.0</v>
      </c>
      <c r="AH34" s="45">
        <f t="shared" si="39"/>
        <v>14746</v>
      </c>
      <c r="AI34" s="52">
        <v>9281.0</v>
      </c>
      <c r="AJ34" s="52">
        <v>5465.0</v>
      </c>
      <c r="AK34" s="45">
        <f t="shared" si="40"/>
        <v>14746</v>
      </c>
      <c r="AL34" s="52">
        <v>10201.0</v>
      </c>
      <c r="AM34" s="52">
        <v>4545.0</v>
      </c>
      <c r="AN34" s="45">
        <f t="shared" si="41"/>
        <v>14746</v>
      </c>
      <c r="AO34" s="52">
        <v>14695.0</v>
      </c>
      <c r="AP34" s="53">
        <v>51.0</v>
      </c>
      <c r="AQ34" s="45">
        <f t="shared" si="42"/>
        <v>14746</v>
      </c>
      <c r="AR34" s="52">
        <v>6614.0</v>
      </c>
      <c r="AS34" s="52">
        <v>4231.0</v>
      </c>
      <c r="AT34" s="52">
        <v>0.0</v>
      </c>
      <c r="AU34" s="52">
        <v>0.0</v>
      </c>
      <c r="AV34" s="53">
        <v>3901.0</v>
      </c>
      <c r="AW34" s="45">
        <f t="shared" si="48"/>
        <v>14746</v>
      </c>
      <c r="AX34" s="51">
        <f t="shared" si="43"/>
        <v>3901</v>
      </c>
      <c r="AY34" s="52">
        <v>8257.0</v>
      </c>
      <c r="AZ34" s="53">
        <v>2588.0</v>
      </c>
      <c r="BA34" s="45">
        <f t="shared" si="44"/>
        <v>14746</v>
      </c>
      <c r="BB34" s="52">
        <v>4522.0</v>
      </c>
      <c r="BC34" s="52">
        <v>1596.0</v>
      </c>
      <c r="BD34" s="52">
        <v>0.0</v>
      </c>
      <c r="BE34" s="52">
        <v>2.0</v>
      </c>
      <c r="BF34" s="52">
        <v>0.0</v>
      </c>
      <c r="BG34" s="52">
        <v>581.0</v>
      </c>
      <c r="BH34" s="52">
        <v>491.0</v>
      </c>
      <c r="BI34" s="52">
        <v>55.0</v>
      </c>
      <c r="BJ34" s="69">
        <f t="shared" si="45"/>
        <v>7247</v>
      </c>
      <c r="BK34" s="70">
        <v>1809.0</v>
      </c>
      <c r="BL34" s="71">
        <v>1214.0</v>
      </c>
      <c r="BM34" s="72">
        <v>1147.0</v>
      </c>
      <c r="BN34" s="72">
        <v>1165.0</v>
      </c>
      <c r="BO34" s="72">
        <v>1912.0</v>
      </c>
      <c r="BP34" s="72">
        <v>0.0</v>
      </c>
      <c r="BQ34" s="73">
        <v>0.0</v>
      </c>
      <c r="BR34" s="69">
        <f t="shared" si="46"/>
        <v>7247</v>
      </c>
      <c r="BS34" s="74">
        <v>383.0</v>
      </c>
      <c r="BT34" s="75">
        <v>83.0</v>
      </c>
      <c r="BU34" s="75">
        <v>14280.0</v>
      </c>
      <c r="BV34" s="45">
        <f t="shared" si="47"/>
        <v>14746</v>
      </c>
    </row>
    <row r="35">
      <c r="B35" s="45" t="s">
        <v>76</v>
      </c>
      <c r="C35" s="55">
        <v>6516.0</v>
      </c>
      <c r="D35" s="52">
        <v>258.0</v>
      </c>
      <c r="E35" s="53">
        <v>63.0</v>
      </c>
      <c r="F35" s="68">
        <f t="shared" si="34"/>
        <v>6837</v>
      </c>
      <c r="G35" s="52">
        <v>1162.0</v>
      </c>
      <c r="H35" s="52">
        <v>970.0</v>
      </c>
      <c r="I35" s="52">
        <v>1093.0</v>
      </c>
      <c r="J35" s="52">
        <v>899.0</v>
      </c>
      <c r="K35" s="52">
        <v>853.0</v>
      </c>
      <c r="L35" s="52">
        <v>947.0</v>
      </c>
      <c r="M35" s="53">
        <v>913.0</v>
      </c>
      <c r="N35" s="45">
        <f t="shared" si="35"/>
        <v>6837</v>
      </c>
      <c r="O35" s="52">
        <v>4017.0</v>
      </c>
      <c r="P35" s="53">
        <v>2820.0</v>
      </c>
      <c r="Q35" s="45">
        <f t="shared" si="36"/>
        <v>6837</v>
      </c>
      <c r="R35" s="52">
        <v>4240.0</v>
      </c>
      <c r="S35" s="53">
        <v>2597.0</v>
      </c>
      <c r="T35" s="45">
        <f t="shared" si="37"/>
        <v>6837</v>
      </c>
      <c r="U35" s="52">
        <v>3869.0</v>
      </c>
      <c r="V35" s="52">
        <v>1149.0</v>
      </c>
      <c r="W35" s="52">
        <v>44.0</v>
      </c>
      <c r="X35" s="52">
        <v>703.0</v>
      </c>
      <c r="Y35" s="52">
        <v>984.0</v>
      </c>
      <c r="Z35" s="52">
        <v>88.0</v>
      </c>
      <c r="AA35" s="53">
        <v>0.0</v>
      </c>
      <c r="AB35" s="45">
        <f t="shared" si="38"/>
        <v>6837</v>
      </c>
      <c r="AC35" s="52">
        <v>2791.0</v>
      </c>
      <c r="AD35" s="52">
        <v>4633.0</v>
      </c>
      <c r="AE35" s="52">
        <v>4920.0</v>
      </c>
      <c r="AF35" s="52">
        <v>1933.0</v>
      </c>
      <c r="AG35" s="52">
        <v>641.0</v>
      </c>
      <c r="AH35" s="45">
        <f t="shared" si="39"/>
        <v>14918</v>
      </c>
      <c r="AI35" s="52">
        <v>9513.0</v>
      </c>
      <c r="AJ35" s="52">
        <v>5405.0</v>
      </c>
      <c r="AK35" s="45">
        <f t="shared" si="40"/>
        <v>14918</v>
      </c>
      <c r="AL35" s="52">
        <v>8447.0</v>
      </c>
      <c r="AM35" s="52">
        <v>6471.0</v>
      </c>
      <c r="AN35" s="45">
        <f t="shared" si="41"/>
        <v>14918</v>
      </c>
      <c r="AO35" s="52">
        <v>14885.0</v>
      </c>
      <c r="AP35" s="53">
        <v>33.0</v>
      </c>
      <c r="AQ35" s="45">
        <f t="shared" si="42"/>
        <v>14918</v>
      </c>
      <c r="AR35" s="52">
        <v>8519.0</v>
      </c>
      <c r="AS35" s="52">
        <v>3853.0</v>
      </c>
      <c r="AT35" s="52">
        <v>0.0</v>
      </c>
      <c r="AU35" s="52">
        <v>0.0</v>
      </c>
      <c r="AV35" s="53">
        <v>2546.0</v>
      </c>
      <c r="AW35" s="45">
        <f t="shared" si="48"/>
        <v>14918</v>
      </c>
      <c r="AX35" s="51">
        <f t="shared" si="43"/>
        <v>2546</v>
      </c>
      <c r="AY35" s="52">
        <v>10365.0</v>
      </c>
      <c r="AZ35" s="53">
        <v>2007.0</v>
      </c>
      <c r="BA35" s="45">
        <f t="shared" si="44"/>
        <v>14918</v>
      </c>
      <c r="BB35" s="52">
        <v>4892.0</v>
      </c>
      <c r="BC35" s="52">
        <v>1423.0</v>
      </c>
      <c r="BD35" s="52">
        <v>31.0</v>
      </c>
      <c r="BE35" s="52">
        <v>7.0</v>
      </c>
      <c r="BF35" s="52">
        <v>0.0</v>
      </c>
      <c r="BG35" s="52">
        <v>257.0</v>
      </c>
      <c r="BH35" s="52">
        <v>227.0</v>
      </c>
      <c r="BI35" s="53">
        <v>0.0</v>
      </c>
      <c r="BJ35" s="69">
        <f t="shared" si="45"/>
        <v>6837</v>
      </c>
      <c r="BK35" s="70">
        <v>637.0</v>
      </c>
      <c r="BL35" s="71">
        <v>901.0</v>
      </c>
      <c r="BM35" s="72">
        <v>1813.0</v>
      </c>
      <c r="BN35" s="72">
        <v>896.0</v>
      </c>
      <c r="BO35" s="72">
        <v>2590.0</v>
      </c>
      <c r="BP35" s="72">
        <v>0.0</v>
      </c>
      <c r="BQ35" s="73">
        <v>0.0</v>
      </c>
      <c r="BR35" s="69">
        <f t="shared" si="46"/>
        <v>6837</v>
      </c>
      <c r="BS35" s="74">
        <v>393.0</v>
      </c>
      <c r="BT35" s="75">
        <v>75.0</v>
      </c>
      <c r="BU35" s="75">
        <v>14450.0</v>
      </c>
      <c r="BV35" s="45">
        <f t="shared" si="47"/>
        <v>14918</v>
      </c>
    </row>
    <row r="36">
      <c r="B36" s="45" t="s">
        <v>77</v>
      </c>
      <c r="C36" s="55">
        <v>4997.0</v>
      </c>
      <c r="D36" s="52">
        <v>229.0</v>
      </c>
      <c r="E36" s="53">
        <v>71.0</v>
      </c>
      <c r="F36" s="68">
        <f t="shared" si="34"/>
        <v>5297</v>
      </c>
      <c r="G36" s="52">
        <v>851.0</v>
      </c>
      <c r="H36" s="52">
        <v>777.0</v>
      </c>
      <c r="I36" s="52">
        <v>731.0</v>
      </c>
      <c r="J36" s="52">
        <v>741.0</v>
      </c>
      <c r="K36" s="52">
        <v>765.0</v>
      </c>
      <c r="L36" s="52">
        <v>722.0</v>
      </c>
      <c r="M36" s="53">
        <v>710.0</v>
      </c>
      <c r="N36" s="45">
        <f>SUM(G36:M36)</f>
        <v>5297</v>
      </c>
      <c r="O36" s="52">
        <v>2170.0</v>
      </c>
      <c r="P36" s="53">
        <v>3127.0</v>
      </c>
      <c r="Q36" s="45">
        <f t="shared" si="36"/>
        <v>5297</v>
      </c>
      <c r="R36" s="52">
        <v>3862.0</v>
      </c>
      <c r="S36" s="53">
        <v>1435.0</v>
      </c>
      <c r="T36" s="45">
        <f t="shared" si="37"/>
        <v>5297</v>
      </c>
      <c r="U36" s="52">
        <v>2372.0</v>
      </c>
      <c r="V36" s="52">
        <v>1350.0</v>
      </c>
      <c r="W36" s="52">
        <v>45.0</v>
      </c>
      <c r="X36" s="52">
        <v>989.0</v>
      </c>
      <c r="Y36" s="52">
        <v>505.0</v>
      </c>
      <c r="Z36" s="52">
        <v>36.0</v>
      </c>
      <c r="AA36" s="53">
        <v>0.0</v>
      </c>
      <c r="AB36" s="45">
        <f t="shared" si="38"/>
        <v>5297</v>
      </c>
      <c r="AC36" s="52">
        <v>2405.0</v>
      </c>
      <c r="AD36" s="52">
        <v>3791.0</v>
      </c>
      <c r="AE36" s="52">
        <v>3112.0</v>
      </c>
      <c r="AF36" s="52">
        <v>2150.0</v>
      </c>
      <c r="AG36" s="52">
        <v>1301.0</v>
      </c>
      <c r="AH36" s="45">
        <f t="shared" si="39"/>
        <v>12759</v>
      </c>
      <c r="AI36" s="52">
        <v>8499.0</v>
      </c>
      <c r="AJ36" s="52">
        <v>4260.0</v>
      </c>
      <c r="AK36" s="45">
        <f t="shared" si="40"/>
        <v>12759</v>
      </c>
      <c r="AL36" s="52">
        <v>9168.0</v>
      </c>
      <c r="AM36" s="52">
        <v>3591.0</v>
      </c>
      <c r="AN36" s="45">
        <f t="shared" si="41"/>
        <v>12759</v>
      </c>
      <c r="AO36" s="52">
        <v>12727.0</v>
      </c>
      <c r="AP36" s="53">
        <v>32.0</v>
      </c>
      <c r="AQ36" s="45">
        <f t="shared" si="42"/>
        <v>12759</v>
      </c>
      <c r="AR36" s="52">
        <v>6402.0</v>
      </c>
      <c r="AS36" s="52">
        <v>3830.0</v>
      </c>
      <c r="AT36" s="52">
        <v>0.0</v>
      </c>
      <c r="AU36" s="52">
        <v>0.0</v>
      </c>
      <c r="AV36" s="53">
        <v>2527.0</v>
      </c>
      <c r="AW36" s="45">
        <f t="shared" si="48"/>
        <v>12759</v>
      </c>
      <c r="AX36" s="51">
        <f t="shared" si="43"/>
        <v>2527</v>
      </c>
      <c r="AY36" s="52">
        <v>8122.0</v>
      </c>
      <c r="AZ36" s="53">
        <v>2110.0</v>
      </c>
      <c r="BA36" s="45">
        <f t="shared" si="44"/>
        <v>12759</v>
      </c>
      <c r="BB36" s="52">
        <v>3301.0</v>
      </c>
      <c r="BC36" s="52">
        <v>811.0</v>
      </c>
      <c r="BD36" s="52">
        <v>25.0</v>
      </c>
      <c r="BE36" s="52">
        <v>0.0</v>
      </c>
      <c r="BF36" s="52">
        <v>0.0</v>
      </c>
      <c r="BG36" s="52">
        <v>467.0</v>
      </c>
      <c r="BH36" s="52">
        <v>693.0</v>
      </c>
      <c r="BI36" s="53">
        <v>0.0</v>
      </c>
      <c r="BJ36" s="69">
        <f t="shared" si="45"/>
        <v>5297</v>
      </c>
      <c r="BK36" s="70">
        <v>638.0</v>
      </c>
      <c r="BL36" s="71">
        <v>645.0</v>
      </c>
      <c r="BM36" s="72">
        <v>1078.0</v>
      </c>
      <c r="BN36" s="72">
        <v>988.0</v>
      </c>
      <c r="BO36" s="72">
        <v>1948.0</v>
      </c>
      <c r="BP36" s="72">
        <v>0.0</v>
      </c>
      <c r="BQ36" s="73">
        <v>0.0</v>
      </c>
      <c r="BR36" s="69">
        <f t="shared" si="46"/>
        <v>5297</v>
      </c>
      <c r="BS36" s="74">
        <v>335.0</v>
      </c>
      <c r="BT36" s="75">
        <v>82.0</v>
      </c>
      <c r="BU36" s="75">
        <v>12342.0</v>
      </c>
      <c r="BV36" s="45">
        <f t="shared" si="47"/>
        <v>12759</v>
      </c>
    </row>
    <row r="37">
      <c r="B37" s="45" t="s">
        <v>78</v>
      </c>
      <c r="C37" s="55">
        <v>5226.0</v>
      </c>
      <c r="D37" s="52">
        <v>238.0</v>
      </c>
      <c r="E37" s="53">
        <v>80.0</v>
      </c>
      <c r="F37" s="68">
        <f t="shared" si="34"/>
        <v>5544</v>
      </c>
      <c r="G37" s="52">
        <v>755.0</v>
      </c>
      <c r="H37" s="52">
        <v>633.0</v>
      </c>
      <c r="I37" s="52">
        <v>783.0</v>
      </c>
      <c r="J37" s="52">
        <v>833.0</v>
      </c>
      <c r="K37" s="52">
        <v>840.0</v>
      </c>
      <c r="L37" s="52">
        <v>835.0</v>
      </c>
      <c r="M37" s="53">
        <v>865.0</v>
      </c>
      <c r="N37" s="45">
        <f t="shared" ref="N37:N40" si="49">G37+H37+I37+J37+K37++L37+M37</f>
        <v>5544</v>
      </c>
      <c r="O37" s="52">
        <v>2614.0</v>
      </c>
      <c r="P37" s="53">
        <v>2930.0</v>
      </c>
      <c r="Q37" s="45">
        <f t="shared" si="36"/>
        <v>5544</v>
      </c>
      <c r="R37" s="52">
        <v>2798.0</v>
      </c>
      <c r="S37" s="53">
        <v>2746.0</v>
      </c>
      <c r="T37" s="45">
        <f t="shared" si="37"/>
        <v>5544</v>
      </c>
      <c r="U37" s="52">
        <v>2238.0</v>
      </c>
      <c r="V37" s="52">
        <v>1439.0</v>
      </c>
      <c r="W37" s="52">
        <v>479.0</v>
      </c>
      <c r="X37" s="52">
        <v>751.0</v>
      </c>
      <c r="Y37" s="52">
        <v>596.0</v>
      </c>
      <c r="Z37" s="52">
        <v>41.0</v>
      </c>
      <c r="AA37" s="53">
        <v>0.0</v>
      </c>
      <c r="AB37" s="45">
        <f t="shared" si="38"/>
        <v>5544</v>
      </c>
      <c r="AC37" s="52">
        <v>1914.0</v>
      </c>
      <c r="AD37" s="52">
        <v>2259.0</v>
      </c>
      <c r="AE37" s="52">
        <v>2371.0</v>
      </c>
      <c r="AF37" s="52">
        <v>1991.0</v>
      </c>
      <c r="AG37" s="52">
        <v>1882.0</v>
      </c>
      <c r="AH37" s="45">
        <f t="shared" si="39"/>
        <v>10417</v>
      </c>
      <c r="AI37" s="52">
        <v>4690.0</v>
      </c>
      <c r="AJ37" s="52">
        <v>5727.0</v>
      </c>
      <c r="AK37" s="45">
        <f t="shared" si="40"/>
        <v>10417</v>
      </c>
      <c r="AL37" s="52">
        <v>5423.0</v>
      </c>
      <c r="AM37" s="52">
        <v>4994.0</v>
      </c>
      <c r="AN37" s="45">
        <f t="shared" si="41"/>
        <v>10417</v>
      </c>
      <c r="AO37" s="52">
        <v>9899.0</v>
      </c>
      <c r="AP37" s="53">
        <v>518.0</v>
      </c>
      <c r="AQ37" s="45">
        <f t="shared" si="42"/>
        <v>10417</v>
      </c>
      <c r="AR37" s="52">
        <v>4346.0</v>
      </c>
      <c r="AS37" s="52">
        <v>3371.0</v>
      </c>
      <c r="AT37" s="52">
        <v>0.0</v>
      </c>
      <c r="AU37" s="52">
        <v>0.0</v>
      </c>
      <c r="AV37" s="53">
        <v>2700.0</v>
      </c>
      <c r="AW37" s="45">
        <f t="shared" si="48"/>
        <v>10417</v>
      </c>
      <c r="AX37" s="51">
        <f t="shared" si="43"/>
        <v>2700</v>
      </c>
      <c r="AY37" s="52">
        <v>4075.0</v>
      </c>
      <c r="AZ37" s="53">
        <v>3642.0</v>
      </c>
      <c r="BA37" s="45">
        <f t="shared" si="44"/>
        <v>10417</v>
      </c>
      <c r="BB37" s="52">
        <v>1377.0</v>
      </c>
      <c r="BC37" s="52">
        <v>2402.0</v>
      </c>
      <c r="BD37" s="52">
        <v>489.0</v>
      </c>
      <c r="BE37" s="52">
        <v>4.0</v>
      </c>
      <c r="BF37" s="52">
        <v>0.0</v>
      </c>
      <c r="BG37" s="52">
        <v>764.0</v>
      </c>
      <c r="BH37" s="52">
        <v>508.0</v>
      </c>
      <c r="BI37" s="53">
        <v>0.0</v>
      </c>
      <c r="BJ37" s="69">
        <f t="shared" si="45"/>
        <v>5544</v>
      </c>
      <c r="BK37" s="70">
        <v>957.0</v>
      </c>
      <c r="BL37" s="71">
        <v>1018.0</v>
      </c>
      <c r="BM37" s="72">
        <v>1190.0</v>
      </c>
      <c r="BN37" s="72">
        <v>1143.0</v>
      </c>
      <c r="BO37" s="72">
        <v>1236.0</v>
      </c>
      <c r="BP37" s="72">
        <v>0.0</v>
      </c>
      <c r="BQ37" s="73">
        <v>0.0</v>
      </c>
      <c r="BR37" s="69">
        <f t="shared" si="46"/>
        <v>5544</v>
      </c>
      <c r="BS37" s="74">
        <v>384.0</v>
      </c>
      <c r="BT37" s="75">
        <v>100.0</v>
      </c>
      <c r="BU37" s="75">
        <v>9933.0</v>
      </c>
      <c r="BV37" s="45">
        <f t="shared" si="47"/>
        <v>10417</v>
      </c>
    </row>
    <row r="38">
      <c r="B38" s="45" t="s">
        <v>79</v>
      </c>
      <c r="C38" s="55">
        <v>5620.0</v>
      </c>
      <c r="D38" s="52">
        <v>197.0</v>
      </c>
      <c r="E38" s="53">
        <v>54.0</v>
      </c>
      <c r="F38" s="68">
        <f t="shared" si="34"/>
        <v>5871</v>
      </c>
      <c r="G38" s="52">
        <v>923.0</v>
      </c>
      <c r="H38" s="52">
        <v>852.0</v>
      </c>
      <c r="I38" s="52">
        <v>912.0</v>
      </c>
      <c r="J38" s="52">
        <v>849.0</v>
      </c>
      <c r="K38" s="52">
        <v>847.0</v>
      </c>
      <c r="L38" s="52">
        <v>820.0</v>
      </c>
      <c r="M38" s="53">
        <v>668.0</v>
      </c>
      <c r="N38" s="45">
        <f t="shared" si="49"/>
        <v>5871</v>
      </c>
      <c r="O38" s="52">
        <v>2475.0</v>
      </c>
      <c r="P38" s="53">
        <v>3396.0</v>
      </c>
      <c r="Q38" s="45">
        <f t="shared" si="36"/>
        <v>5871</v>
      </c>
      <c r="R38" s="52">
        <v>2911.0</v>
      </c>
      <c r="S38" s="53">
        <v>2960.0</v>
      </c>
      <c r="T38" s="45">
        <f t="shared" si="37"/>
        <v>5871</v>
      </c>
      <c r="U38" s="52">
        <v>2833.0</v>
      </c>
      <c r="V38" s="52">
        <v>1549.0</v>
      </c>
      <c r="W38" s="52">
        <v>47.0</v>
      </c>
      <c r="X38" s="52">
        <v>899.0</v>
      </c>
      <c r="Y38" s="52">
        <v>507.0</v>
      </c>
      <c r="Z38" s="52">
        <v>36.0</v>
      </c>
      <c r="AA38" s="53">
        <v>0.0</v>
      </c>
      <c r="AB38" s="45">
        <f t="shared" si="38"/>
        <v>5871</v>
      </c>
      <c r="AC38" s="52">
        <v>2311.0</v>
      </c>
      <c r="AD38" s="52">
        <v>3536.0</v>
      </c>
      <c r="AE38" s="52">
        <v>3240.0</v>
      </c>
      <c r="AF38" s="52">
        <v>2176.0</v>
      </c>
      <c r="AG38" s="52">
        <v>1382.0</v>
      </c>
      <c r="AH38" s="45">
        <f t="shared" si="39"/>
        <v>12645</v>
      </c>
      <c r="AI38" s="52">
        <v>8735.0</v>
      </c>
      <c r="AJ38" s="52">
        <v>3910.0</v>
      </c>
      <c r="AK38" s="45">
        <f t="shared" si="40"/>
        <v>12645</v>
      </c>
      <c r="AL38" s="52">
        <v>9211.0</v>
      </c>
      <c r="AM38" s="52">
        <v>3434.0</v>
      </c>
      <c r="AN38" s="45">
        <f t="shared" si="41"/>
        <v>12645</v>
      </c>
      <c r="AO38" s="52">
        <v>12599.0</v>
      </c>
      <c r="AP38" s="53">
        <v>46.0</v>
      </c>
      <c r="AQ38" s="45">
        <f t="shared" si="42"/>
        <v>12645</v>
      </c>
      <c r="AR38" s="52">
        <v>6422.0</v>
      </c>
      <c r="AS38" s="52">
        <v>3795.0</v>
      </c>
      <c r="AT38" s="52">
        <v>0.0</v>
      </c>
      <c r="AU38" s="52">
        <v>0.0</v>
      </c>
      <c r="AV38" s="53">
        <v>2428.0</v>
      </c>
      <c r="AW38" s="45">
        <f t="shared" si="48"/>
        <v>12645</v>
      </c>
      <c r="AX38" s="51">
        <f t="shared" si="43"/>
        <v>2428</v>
      </c>
      <c r="AY38" s="52">
        <v>8105.0</v>
      </c>
      <c r="AZ38" s="53">
        <v>2112.0</v>
      </c>
      <c r="BA38" s="45">
        <f t="shared" si="44"/>
        <v>12645</v>
      </c>
      <c r="BB38" s="52">
        <v>3734.0</v>
      </c>
      <c r="BC38" s="52">
        <v>974.0</v>
      </c>
      <c r="BD38" s="52">
        <v>27.0</v>
      </c>
      <c r="BE38" s="52">
        <v>0.0</v>
      </c>
      <c r="BF38" s="52">
        <v>0.0</v>
      </c>
      <c r="BG38" s="52">
        <v>454.0</v>
      </c>
      <c r="BH38" s="52">
        <v>382.0</v>
      </c>
      <c r="BI38" s="53">
        <v>300.0</v>
      </c>
      <c r="BJ38" s="69">
        <f t="shared" si="45"/>
        <v>5871</v>
      </c>
      <c r="BK38" s="70">
        <v>677.0</v>
      </c>
      <c r="BL38" s="71">
        <v>782.0</v>
      </c>
      <c r="BM38" s="72">
        <v>1011.0</v>
      </c>
      <c r="BN38" s="72">
        <v>967.0</v>
      </c>
      <c r="BO38" s="72">
        <v>2134.0</v>
      </c>
      <c r="BP38" s="72">
        <v>0.0</v>
      </c>
      <c r="BQ38" s="73">
        <v>300.0</v>
      </c>
      <c r="BR38" s="69">
        <f t="shared" si="46"/>
        <v>5871</v>
      </c>
      <c r="BS38" s="74">
        <v>313.0</v>
      </c>
      <c r="BT38" s="75">
        <v>65.0</v>
      </c>
      <c r="BU38" s="75">
        <v>12267.0</v>
      </c>
      <c r="BV38" s="45">
        <f t="shared" si="47"/>
        <v>12645</v>
      </c>
    </row>
    <row r="39">
      <c r="B39" s="45" t="s">
        <v>80</v>
      </c>
      <c r="C39" s="57">
        <v>5786.0</v>
      </c>
      <c r="D39" s="58">
        <v>183.0</v>
      </c>
      <c r="E39" s="59">
        <v>86.0</v>
      </c>
      <c r="F39" s="68">
        <f t="shared" si="34"/>
        <v>6055</v>
      </c>
      <c r="G39" s="58">
        <v>914.0</v>
      </c>
      <c r="H39" s="58">
        <v>921.0</v>
      </c>
      <c r="I39" s="58">
        <v>685.0</v>
      </c>
      <c r="J39" s="58">
        <v>641.0</v>
      </c>
      <c r="K39" s="58">
        <v>692.0</v>
      </c>
      <c r="L39" s="58">
        <v>721.0</v>
      </c>
      <c r="M39" s="59">
        <v>1481.0</v>
      </c>
      <c r="N39" s="45">
        <f t="shared" si="49"/>
        <v>6055</v>
      </c>
      <c r="O39" s="58">
        <v>3411.0</v>
      </c>
      <c r="P39" s="59">
        <v>2644.0</v>
      </c>
      <c r="Q39" s="45">
        <f t="shared" si="36"/>
        <v>6055</v>
      </c>
      <c r="R39" s="52">
        <v>2908.0</v>
      </c>
      <c r="S39" s="53">
        <v>3147.0</v>
      </c>
      <c r="T39" s="45">
        <f t="shared" si="37"/>
        <v>6055</v>
      </c>
      <c r="U39" s="52">
        <v>3111.0</v>
      </c>
      <c r="V39" s="52">
        <v>1659.0</v>
      </c>
      <c r="W39" s="52">
        <v>26.0</v>
      </c>
      <c r="X39" s="52">
        <v>641.0</v>
      </c>
      <c r="Y39" s="52">
        <v>436.0</v>
      </c>
      <c r="Z39" s="52">
        <v>182.0</v>
      </c>
      <c r="AA39" s="53">
        <v>0.0</v>
      </c>
      <c r="AB39" s="45">
        <f t="shared" si="38"/>
        <v>6055</v>
      </c>
      <c r="AC39" s="52">
        <v>2429.0</v>
      </c>
      <c r="AD39" s="52">
        <v>3601.0</v>
      </c>
      <c r="AE39" s="52">
        <v>3460.0</v>
      </c>
      <c r="AF39" s="52">
        <v>2199.0</v>
      </c>
      <c r="AG39" s="52">
        <v>2015.0</v>
      </c>
      <c r="AH39" s="45">
        <f t="shared" si="39"/>
        <v>13704</v>
      </c>
      <c r="AI39" s="52">
        <v>8865.0</v>
      </c>
      <c r="AJ39" s="52">
        <v>4839.0</v>
      </c>
      <c r="AK39" s="45">
        <f t="shared" si="40"/>
        <v>13704</v>
      </c>
      <c r="AL39" s="52">
        <v>9221.0</v>
      </c>
      <c r="AM39" s="52">
        <v>4483.0</v>
      </c>
      <c r="AN39" s="45">
        <f t="shared" si="41"/>
        <v>13704</v>
      </c>
      <c r="AO39" s="52">
        <v>13675.0</v>
      </c>
      <c r="AP39" s="53">
        <v>29.0</v>
      </c>
      <c r="AQ39" s="45">
        <f t="shared" si="42"/>
        <v>13704</v>
      </c>
      <c r="AR39" s="52">
        <v>6792.0</v>
      </c>
      <c r="AS39" s="52">
        <v>4396.0</v>
      </c>
      <c r="AT39" s="52">
        <v>0.0</v>
      </c>
      <c r="AU39" s="52">
        <v>0.0</v>
      </c>
      <c r="AV39" s="53">
        <v>2516.0</v>
      </c>
      <c r="AW39" s="45">
        <f t="shared" si="48"/>
        <v>13704</v>
      </c>
      <c r="AX39" s="51">
        <f t="shared" si="43"/>
        <v>2516</v>
      </c>
      <c r="AY39" s="52">
        <v>9154.0</v>
      </c>
      <c r="AZ39" s="53">
        <v>2034.0</v>
      </c>
      <c r="BA39" s="45">
        <f t="shared" si="44"/>
        <v>13704</v>
      </c>
      <c r="BB39" s="52">
        <v>3827.0</v>
      </c>
      <c r="BC39" s="52">
        <v>839.0</v>
      </c>
      <c r="BD39" s="52">
        <v>37.0</v>
      </c>
      <c r="BE39" s="52">
        <v>0.0</v>
      </c>
      <c r="BF39" s="52">
        <v>1.0</v>
      </c>
      <c r="BG39" s="52">
        <v>382.0</v>
      </c>
      <c r="BH39" s="52">
        <v>969.0</v>
      </c>
      <c r="BI39" s="53">
        <v>0.0</v>
      </c>
      <c r="BJ39" s="69">
        <f t="shared" si="45"/>
        <v>6055</v>
      </c>
      <c r="BK39" s="70">
        <v>704.0</v>
      </c>
      <c r="BL39" s="76">
        <v>692.0</v>
      </c>
      <c r="BM39" s="77">
        <v>1501.0</v>
      </c>
      <c r="BN39" s="77">
        <v>947.0</v>
      </c>
      <c r="BO39" s="77">
        <v>2211.0</v>
      </c>
      <c r="BP39" s="77">
        <v>0.0</v>
      </c>
      <c r="BQ39" s="78">
        <v>0.0</v>
      </c>
      <c r="BR39" s="69">
        <f t="shared" si="46"/>
        <v>6055</v>
      </c>
      <c r="BS39" s="74">
        <v>301.0</v>
      </c>
      <c r="BT39" s="75">
        <v>100.0</v>
      </c>
      <c r="BU39" s="75">
        <v>13303.0</v>
      </c>
      <c r="BV39" s="45">
        <f t="shared" si="47"/>
        <v>13704</v>
      </c>
    </row>
    <row r="40">
      <c r="B40" s="45" t="s">
        <v>47</v>
      </c>
      <c r="C40" s="62">
        <f t="shared" ref="C40:M40" si="50">SUM(C28:C39)</f>
        <v>76089</v>
      </c>
      <c r="D40" s="63">
        <f t="shared" si="50"/>
        <v>2897</v>
      </c>
      <c r="E40" s="63">
        <f t="shared" si="50"/>
        <v>898</v>
      </c>
      <c r="F40" s="67">
        <f t="shared" si="50"/>
        <v>79884</v>
      </c>
      <c r="G40" s="63">
        <f t="shared" si="50"/>
        <v>13117</v>
      </c>
      <c r="H40" s="63">
        <f t="shared" si="50"/>
        <v>12735</v>
      </c>
      <c r="I40" s="63">
        <f t="shared" si="50"/>
        <v>11448</v>
      </c>
      <c r="J40" s="63">
        <f t="shared" si="50"/>
        <v>10905</v>
      </c>
      <c r="K40" s="63">
        <f t="shared" si="50"/>
        <v>10474</v>
      </c>
      <c r="L40" s="63">
        <f t="shared" si="50"/>
        <v>10326</v>
      </c>
      <c r="M40" s="63">
        <f t="shared" si="50"/>
        <v>10879</v>
      </c>
      <c r="N40" s="45">
        <f t="shared" si="49"/>
        <v>79884</v>
      </c>
      <c r="O40" s="63">
        <f t="shared" ref="O40:BV40" si="51">SUM(O28:O39)</f>
        <v>42636</v>
      </c>
      <c r="P40" s="63">
        <f t="shared" si="51"/>
        <v>37248</v>
      </c>
      <c r="Q40" s="45">
        <f t="shared" si="51"/>
        <v>79884</v>
      </c>
      <c r="R40" s="63">
        <f t="shared" si="51"/>
        <v>45095</v>
      </c>
      <c r="S40" s="65">
        <f t="shared" si="51"/>
        <v>34789</v>
      </c>
      <c r="T40" s="45">
        <f t="shared" si="51"/>
        <v>79884</v>
      </c>
      <c r="U40" s="63">
        <f t="shared" si="51"/>
        <v>28021</v>
      </c>
      <c r="V40" s="63">
        <f t="shared" si="51"/>
        <v>17579</v>
      </c>
      <c r="W40" s="63">
        <f t="shared" si="51"/>
        <v>2844</v>
      </c>
      <c r="X40" s="63">
        <f t="shared" si="51"/>
        <v>12225</v>
      </c>
      <c r="Y40" s="63">
        <f t="shared" si="51"/>
        <v>11356</v>
      </c>
      <c r="Z40" s="63">
        <f t="shared" si="51"/>
        <v>4338</v>
      </c>
      <c r="AA40" s="63">
        <f t="shared" si="51"/>
        <v>0</v>
      </c>
      <c r="AB40" s="45">
        <f t="shared" si="51"/>
        <v>76363</v>
      </c>
      <c r="AC40" s="45">
        <f t="shared" si="51"/>
        <v>29833</v>
      </c>
      <c r="AD40" s="63">
        <f t="shared" si="51"/>
        <v>43644</v>
      </c>
      <c r="AE40" s="63">
        <f t="shared" si="51"/>
        <v>41346</v>
      </c>
      <c r="AF40" s="63">
        <f t="shared" si="51"/>
        <v>31642</v>
      </c>
      <c r="AG40" s="63">
        <f t="shared" si="51"/>
        <v>16189</v>
      </c>
      <c r="AH40" s="45">
        <f t="shared" si="51"/>
        <v>162654</v>
      </c>
      <c r="AI40" s="63">
        <f t="shared" si="51"/>
        <v>100543</v>
      </c>
      <c r="AJ40" s="63">
        <f t="shared" si="51"/>
        <v>62111</v>
      </c>
      <c r="AK40" s="45">
        <f t="shared" si="51"/>
        <v>162654</v>
      </c>
      <c r="AL40" s="63">
        <f t="shared" si="51"/>
        <v>102373</v>
      </c>
      <c r="AM40" s="63">
        <f t="shared" si="51"/>
        <v>60281</v>
      </c>
      <c r="AN40" s="45">
        <f t="shared" si="51"/>
        <v>162654</v>
      </c>
      <c r="AO40" s="63">
        <f t="shared" si="51"/>
        <v>161333</v>
      </c>
      <c r="AP40" s="65">
        <f t="shared" si="51"/>
        <v>1321</v>
      </c>
      <c r="AQ40" s="45">
        <f t="shared" si="51"/>
        <v>162654</v>
      </c>
      <c r="AR40" s="63">
        <f t="shared" si="51"/>
        <v>77634</v>
      </c>
      <c r="AS40" s="63">
        <f t="shared" si="51"/>
        <v>45966</v>
      </c>
      <c r="AT40" s="63">
        <f t="shared" si="51"/>
        <v>0</v>
      </c>
      <c r="AU40" s="63">
        <f t="shared" si="51"/>
        <v>0</v>
      </c>
      <c r="AV40" s="65">
        <f t="shared" si="51"/>
        <v>39054</v>
      </c>
      <c r="AW40" s="45">
        <f t="shared" si="51"/>
        <v>162654</v>
      </c>
      <c r="AX40" s="62">
        <f t="shared" si="51"/>
        <v>39054</v>
      </c>
      <c r="AY40" s="63">
        <f t="shared" si="51"/>
        <v>95576</v>
      </c>
      <c r="AZ40" s="65">
        <f t="shared" si="51"/>
        <v>28024</v>
      </c>
      <c r="BA40" s="45">
        <f t="shared" si="51"/>
        <v>162654</v>
      </c>
      <c r="BB40" s="66">
        <f t="shared" si="51"/>
        <v>39889</v>
      </c>
      <c r="BC40" s="66">
        <f t="shared" si="51"/>
        <v>19961</v>
      </c>
      <c r="BD40" s="66">
        <f t="shared" si="51"/>
        <v>609</v>
      </c>
      <c r="BE40" s="66">
        <f t="shared" si="51"/>
        <v>21</v>
      </c>
      <c r="BF40" s="66">
        <f t="shared" si="51"/>
        <v>17</v>
      </c>
      <c r="BG40" s="66">
        <f t="shared" si="51"/>
        <v>7627</v>
      </c>
      <c r="BH40" s="66">
        <f t="shared" si="51"/>
        <v>6174</v>
      </c>
      <c r="BI40" s="79">
        <f t="shared" si="51"/>
        <v>5586</v>
      </c>
      <c r="BJ40" s="69">
        <f t="shared" si="51"/>
        <v>79884</v>
      </c>
      <c r="BK40" s="69">
        <f t="shared" si="51"/>
        <v>14468</v>
      </c>
      <c r="BL40" s="80">
        <f t="shared" si="51"/>
        <v>13284</v>
      </c>
      <c r="BM40" s="69">
        <f t="shared" si="51"/>
        <v>14801</v>
      </c>
      <c r="BN40" s="69">
        <f t="shared" si="51"/>
        <v>13944</v>
      </c>
      <c r="BO40" s="69">
        <f t="shared" si="51"/>
        <v>23087</v>
      </c>
      <c r="BP40" s="69">
        <f t="shared" si="51"/>
        <v>0</v>
      </c>
      <c r="BQ40" s="69">
        <f t="shared" si="51"/>
        <v>300</v>
      </c>
      <c r="BR40" s="69">
        <f t="shared" si="51"/>
        <v>79884</v>
      </c>
      <c r="BS40" s="67">
        <f t="shared" si="51"/>
        <v>4554</v>
      </c>
      <c r="BT40" s="45">
        <f t="shared" si="51"/>
        <v>1091</v>
      </c>
      <c r="BU40" s="45">
        <f t="shared" si="51"/>
        <v>157527</v>
      </c>
      <c r="BV40" s="45">
        <f t="shared" si="51"/>
        <v>163172</v>
      </c>
    </row>
    <row r="41">
      <c r="A41" s="81"/>
      <c r="B41" s="82" t="s">
        <v>81</v>
      </c>
      <c r="C41" s="83">
        <f t="shared" ref="C41:BV41" si="52">SUM(C14,C27,C40)</f>
        <v>143956</v>
      </c>
      <c r="D41" s="83">
        <f t="shared" si="52"/>
        <v>6942</v>
      </c>
      <c r="E41" s="83">
        <f t="shared" si="52"/>
        <v>2046</v>
      </c>
      <c r="F41" s="83">
        <f t="shared" si="52"/>
        <v>152944</v>
      </c>
      <c r="G41" s="83">
        <f t="shared" si="52"/>
        <v>23782</v>
      </c>
      <c r="H41" s="83">
        <f t="shared" si="52"/>
        <v>22973</v>
      </c>
      <c r="I41" s="83">
        <f t="shared" si="52"/>
        <v>21730</v>
      </c>
      <c r="J41" s="83">
        <f t="shared" si="52"/>
        <v>21129</v>
      </c>
      <c r="K41" s="83">
        <f t="shared" si="52"/>
        <v>20912</v>
      </c>
      <c r="L41" s="83">
        <f t="shared" si="52"/>
        <v>20960</v>
      </c>
      <c r="M41" s="83">
        <f t="shared" si="52"/>
        <v>21458</v>
      </c>
      <c r="N41" s="83">
        <f t="shared" si="52"/>
        <v>152944</v>
      </c>
      <c r="O41" s="83">
        <f t="shared" si="52"/>
        <v>85710</v>
      </c>
      <c r="P41" s="83">
        <f t="shared" si="52"/>
        <v>67234</v>
      </c>
      <c r="Q41" s="83">
        <f t="shared" si="52"/>
        <v>152944</v>
      </c>
      <c r="R41" s="83">
        <f t="shared" si="52"/>
        <v>92082</v>
      </c>
      <c r="S41" s="83">
        <f t="shared" si="52"/>
        <v>60862</v>
      </c>
      <c r="T41" s="83">
        <f t="shared" si="52"/>
        <v>152944</v>
      </c>
      <c r="U41" s="83">
        <f t="shared" si="52"/>
        <v>92817</v>
      </c>
      <c r="V41" s="83">
        <f t="shared" si="52"/>
        <v>38961</v>
      </c>
      <c r="W41" s="83">
        <f t="shared" si="52"/>
        <v>4977</v>
      </c>
      <c r="X41" s="83">
        <f t="shared" si="52"/>
        <v>47135</v>
      </c>
      <c r="Y41" s="83">
        <f t="shared" si="52"/>
        <v>18768</v>
      </c>
      <c r="Z41" s="83">
        <f t="shared" si="52"/>
        <v>6149</v>
      </c>
      <c r="AA41" s="83">
        <f t="shared" si="52"/>
        <v>1469</v>
      </c>
      <c r="AB41" s="83">
        <f t="shared" si="52"/>
        <v>210276</v>
      </c>
      <c r="AC41" s="83">
        <f t="shared" si="52"/>
        <v>35312</v>
      </c>
      <c r="AD41" s="83">
        <f t="shared" si="52"/>
        <v>90276</v>
      </c>
      <c r="AE41" s="83">
        <f t="shared" si="52"/>
        <v>85537</v>
      </c>
      <c r="AF41" s="83">
        <f t="shared" si="52"/>
        <v>57880</v>
      </c>
      <c r="AG41" s="83">
        <f t="shared" si="52"/>
        <v>26940</v>
      </c>
      <c r="AH41" s="83">
        <f t="shared" si="52"/>
        <v>295945</v>
      </c>
      <c r="AI41" s="83">
        <f t="shared" si="52"/>
        <v>193479</v>
      </c>
      <c r="AJ41" s="83">
        <f t="shared" si="52"/>
        <v>102466</v>
      </c>
      <c r="AK41" s="83">
        <f t="shared" si="52"/>
        <v>295945</v>
      </c>
      <c r="AL41" s="83">
        <f t="shared" si="52"/>
        <v>177866</v>
      </c>
      <c r="AM41" s="83">
        <f t="shared" si="52"/>
        <v>118079</v>
      </c>
      <c r="AN41" s="83">
        <f t="shared" si="52"/>
        <v>295945</v>
      </c>
      <c r="AO41" s="83">
        <f t="shared" si="52"/>
        <v>292278</v>
      </c>
      <c r="AP41" s="83">
        <f t="shared" si="52"/>
        <v>3667</v>
      </c>
      <c r="AQ41" s="83">
        <f t="shared" si="52"/>
        <v>295945</v>
      </c>
      <c r="AR41" s="83">
        <f t="shared" si="52"/>
        <v>168867</v>
      </c>
      <c r="AS41" s="83">
        <f t="shared" si="52"/>
        <v>80377</v>
      </c>
      <c r="AT41" s="83">
        <f t="shared" si="52"/>
        <v>996</v>
      </c>
      <c r="AU41" s="83">
        <f t="shared" si="52"/>
        <v>2370</v>
      </c>
      <c r="AV41" s="83">
        <f t="shared" si="52"/>
        <v>43335</v>
      </c>
      <c r="AW41" s="83">
        <f t="shared" si="52"/>
        <v>295945</v>
      </c>
      <c r="AX41" s="83">
        <f t="shared" si="52"/>
        <v>43335</v>
      </c>
      <c r="AY41" s="83">
        <f t="shared" si="52"/>
        <v>216153</v>
      </c>
      <c r="AZ41" s="83">
        <f t="shared" si="52"/>
        <v>36457</v>
      </c>
      <c r="BA41" s="83">
        <f t="shared" si="52"/>
        <v>295945</v>
      </c>
      <c r="BB41" s="83">
        <f t="shared" si="52"/>
        <v>102947</v>
      </c>
      <c r="BC41" s="83">
        <f t="shared" si="52"/>
        <v>22953</v>
      </c>
      <c r="BD41" s="83">
        <f t="shared" si="52"/>
        <v>1627</v>
      </c>
      <c r="BE41" s="83">
        <f t="shared" si="52"/>
        <v>333</v>
      </c>
      <c r="BF41" s="83">
        <f t="shared" si="52"/>
        <v>44</v>
      </c>
      <c r="BG41" s="83">
        <f t="shared" si="52"/>
        <v>9777</v>
      </c>
      <c r="BH41" s="83">
        <f t="shared" si="52"/>
        <v>8368</v>
      </c>
      <c r="BI41" s="83">
        <f t="shared" si="52"/>
        <v>6895</v>
      </c>
      <c r="BJ41" s="83">
        <f t="shared" si="52"/>
        <v>152944</v>
      </c>
      <c r="BK41" s="83">
        <f t="shared" si="52"/>
        <v>21009</v>
      </c>
      <c r="BL41" s="83">
        <f t="shared" si="52"/>
        <v>21676</v>
      </c>
      <c r="BM41" s="83">
        <f t="shared" si="52"/>
        <v>18974</v>
      </c>
      <c r="BN41" s="83">
        <f t="shared" si="52"/>
        <v>20086</v>
      </c>
      <c r="BO41" s="83">
        <f t="shared" si="52"/>
        <v>36526</v>
      </c>
      <c r="BP41" s="83">
        <f t="shared" si="52"/>
        <v>1</v>
      </c>
      <c r="BQ41" s="83">
        <f t="shared" si="52"/>
        <v>34672</v>
      </c>
      <c r="BR41" s="83">
        <f t="shared" si="52"/>
        <v>152944</v>
      </c>
      <c r="BS41" s="83">
        <f t="shared" si="52"/>
        <v>12047</v>
      </c>
      <c r="BT41" s="83">
        <f t="shared" si="52"/>
        <v>2567</v>
      </c>
      <c r="BU41" s="83">
        <f t="shared" si="52"/>
        <v>288405</v>
      </c>
      <c r="BV41" s="83">
        <f t="shared" si="52"/>
        <v>303019</v>
      </c>
    </row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3">
    <mergeCell ref="A2:A14"/>
    <mergeCell ref="A15:A27"/>
    <mergeCell ref="A28:A4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3" width="8.0"/>
  </cols>
  <sheetData>
    <row r="1" ht="124.5" customHeight="1">
      <c r="A1" s="2" t="s">
        <v>1</v>
      </c>
      <c r="B1" s="3" t="s">
        <v>2</v>
      </c>
      <c r="C1" s="3" t="s">
        <v>3</v>
      </c>
      <c r="D1" s="4" t="s">
        <v>4</v>
      </c>
      <c r="E1" s="5" t="s">
        <v>5</v>
      </c>
      <c r="F1" s="2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6" t="s">
        <v>13</v>
      </c>
      <c r="N1" s="2" t="s">
        <v>14</v>
      </c>
      <c r="O1" s="3" t="s">
        <v>15</v>
      </c>
      <c r="P1" s="6" t="s">
        <v>16</v>
      </c>
      <c r="Q1" s="2" t="s">
        <v>17</v>
      </c>
      <c r="R1" s="3" t="s">
        <v>18</v>
      </c>
      <c r="S1" s="6" t="s">
        <v>19</v>
      </c>
      <c r="T1" s="2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6" t="s">
        <v>27</v>
      </c>
      <c r="AB1" s="2">
        <v>-18.0</v>
      </c>
      <c r="AC1" s="3" t="s">
        <v>28</v>
      </c>
      <c r="AD1" s="3" t="s">
        <v>29</v>
      </c>
      <c r="AE1" s="3" t="s">
        <v>30</v>
      </c>
      <c r="AF1" s="3" t="s">
        <v>31</v>
      </c>
      <c r="AG1" s="6" t="s">
        <v>32</v>
      </c>
      <c r="AH1" s="2" t="s">
        <v>33</v>
      </c>
      <c r="AI1" s="3" t="s">
        <v>34</v>
      </c>
      <c r="AJ1" s="6" t="s">
        <v>35</v>
      </c>
      <c r="AK1" s="2" t="s">
        <v>36</v>
      </c>
      <c r="AL1" s="3" t="s">
        <v>37</v>
      </c>
      <c r="AM1" s="6" t="s">
        <v>38</v>
      </c>
      <c r="AN1" s="2" t="s">
        <v>39</v>
      </c>
      <c r="AO1" s="3" t="s">
        <v>40</v>
      </c>
      <c r="AP1" s="6" t="s">
        <v>41</v>
      </c>
      <c r="AQ1" s="2" t="s">
        <v>42</v>
      </c>
      <c r="AR1" s="3" t="s">
        <v>43</v>
      </c>
      <c r="AS1" s="3" t="s">
        <v>44</v>
      </c>
      <c r="AT1" s="3" t="s">
        <v>45</v>
      </c>
      <c r="AU1" s="7" t="s">
        <v>46</v>
      </c>
      <c r="AV1" s="8" t="s">
        <v>47</v>
      </c>
      <c r="AW1" s="9" t="s">
        <v>46</v>
      </c>
      <c r="AX1" s="3" t="s">
        <v>48</v>
      </c>
      <c r="AY1" s="3" t="s">
        <v>49</v>
      </c>
      <c r="AZ1" s="10" t="s">
        <v>47</v>
      </c>
      <c r="BA1" s="11" t="s">
        <v>50</v>
      </c>
      <c r="BB1" s="12" t="s">
        <v>51</v>
      </c>
      <c r="BC1" s="12" t="s">
        <v>52</v>
      </c>
      <c r="BD1" s="12" t="s">
        <v>53</v>
      </c>
      <c r="BE1" s="13" t="s">
        <v>54</v>
      </c>
      <c r="BF1" s="14" t="s">
        <v>55</v>
      </c>
      <c r="BG1" s="14" t="s">
        <v>56</v>
      </c>
      <c r="BH1" s="15" t="s">
        <v>57</v>
      </c>
      <c r="BI1" s="16" t="s">
        <v>47</v>
      </c>
      <c r="BJ1" s="16" t="s">
        <v>58</v>
      </c>
      <c r="BK1" s="17" t="s">
        <v>59</v>
      </c>
      <c r="BL1" s="18" t="s">
        <v>60</v>
      </c>
      <c r="BM1" s="18" t="s">
        <v>61</v>
      </c>
      <c r="BN1" s="18" t="s">
        <v>62</v>
      </c>
      <c r="BO1" s="18" t="s">
        <v>63</v>
      </c>
      <c r="BP1" s="18" t="s">
        <v>26</v>
      </c>
      <c r="BQ1" s="19" t="s">
        <v>64</v>
      </c>
      <c r="BR1" s="20" t="s">
        <v>65</v>
      </c>
      <c r="BS1" s="21" t="s">
        <v>66</v>
      </c>
      <c r="BT1" s="18" t="s">
        <v>67</v>
      </c>
      <c r="BU1" s="22" t="s">
        <v>68</v>
      </c>
    </row>
    <row r="2" ht="21.0" customHeight="1">
      <c r="A2" s="24" t="s">
        <v>69</v>
      </c>
      <c r="B2" s="25">
        <v>311.0</v>
      </c>
      <c r="C2" s="26">
        <v>24.0</v>
      </c>
      <c r="D2" s="27">
        <v>5.0</v>
      </c>
      <c r="E2" s="28">
        <f t="shared" ref="E2:E13" si="1">SUM(B2:D2)</f>
        <v>340</v>
      </c>
      <c r="F2" s="26">
        <v>42.0</v>
      </c>
      <c r="G2" s="26">
        <v>36.0</v>
      </c>
      <c r="H2" s="26">
        <v>45.0</v>
      </c>
      <c r="I2" s="26">
        <v>45.0</v>
      </c>
      <c r="J2" s="26">
        <v>58.0</v>
      </c>
      <c r="K2" s="26">
        <v>65.0</v>
      </c>
      <c r="L2" s="27">
        <v>49.0</v>
      </c>
      <c r="M2" s="24">
        <f t="shared" ref="M2:M3" si="2">F2+G2+H2+I2+J2+K2+L2</f>
        <v>340</v>
      </c>
      <c r="N2" s="26">
        <v>66.0</v>
      </c>
      <c r="O2" s="27">
        <v>274.0</v>
      </c>
      <c r="P2" s="24">
        <f t="shared" ref="P2:P13" si="3">SUM(N2:O2)</f>
        <v>340</v>
      </c>
      <c r="Q2" s="26">
        <v>323.0</v>
      </c>
      <c r="R2" s="27">
        <v>17.0</v>
      </c>
      <c r="S2" s="24">
        <f t="shared" ref="S2:S13" si="4">SUM(Q2:R2)</f>
        <v>340</v>
      </c>
      <c r="T2" s="26">
        <v>277.0</v>
      </c>
      <c r="U2" s="26">
        <v>196.0</v>
      </c>
      <c r="V2" s="26">
        <v>0.0</v>
      </c>
      <c r="W2" s="26">
        <v>0.0</v>
      </c>
      <c r="X2" s="26">
        <v>185.0</v>
      </c>
      <c r="Y2" s="26">
        <v>2.0</v>
      </c>
      <c r="Z2" s="27">
        <v>2.0</v>
      </c>
      <c r="AA2" s="24">
        <f t="shared" ref="AA2:AA13" si="5">SUM(T2:Z2)</f>
        <v>662</v>
      </c>
      <c r="AB2" s="26">
        <v>68.0</v>
      </c>
      <c r="AC2" s="26">
        <v>456.0</v>
      </c>
      <c r="AD2" s="26">
        <v>98.0</v>
      </c>
      <c r="AE2" s="26">
        <v>32.0</v>
      </c>
      <c r="AF2" s="26">
        <v>8.0</v>
      </c>
      <c r="AG2" s="24">
        <f t="shared" ref="AG2:AG13" si="6">SUM(AB2:AF2)</f>
        <v>662</v>
      </c>
      <c r="AH2" s="26">
        <v>525.0</v>
      </c>
      <c r="AI2" s="26">
        <v>137.0</v>
      </c>
      <c r="AJ2" s="24">
        <f t="shared" ref="AJ2:AJ13" si="7">SUM(AH2:AI2)</f>
        <v>662</v>
      </c>
      <c r="AK2" s="26">
        <v>507.0</v>
      </c>
      <c r="AL2" s="26">
        <v>155.0</v>
      </c>
      <c r="AM2" s="24">
        <f t="shared" ref="AM2:AM13" si="8">SUM(AK2:AL2)</f>
        <v>662</v>
      </c>
      <c r="AN2" s="26">
        <v>661.0</v>
      </c>
      <c r="AO2" s="27">
        <v>1.0</v>
      </c>
      <c r="AP2" s="24">
        <f t="shared" ref="AP2:AP13" si="9">SUM(AN2:AO2)</f>
        <v>662</v>
      </c>
      <c r="AQ2" s="26">
        <v>626.0</v>
      </c>
      <c r="AR2" s="26">
        <v>19.0</v>
      </c>
      <c r="AS2" s="26">
        <v>0.0</v>
      </c>
      <c r="AT2" s="26">
        <v>0.0</v>
      </c>
      <c r="AU2" s="27">
        <v>17.0</v>
      </c>
      <c r="AV2" s="24">
        <f>+AQ2+AR2+AS2+AT2+AU2</f>
        <v>662</v>
      </c>
      <c r="AW2" s="29">
        <f t="shared" ref="AW2:AW13" si="10">AU2</f>
        <v>17</v>
      </c>
      <c r="AX2" s="26">
        <v>607.0</v>
      </c>
      <c r="AY2" s="27">
        <v>38.0</v>
      </c>
      <c r="AZ2" s="24">
        <f t="shared" ref="AZ2:AZ13" si="11">SUM(AW2:AY2)</f>
        <v>662</v>
      </c>
      <c r="BA2" s="30">
        <v>322.0</v>
      </c>
      <c r="BB2" s="30">
        <v>7.0</v>
      </c>
      <c r="BC2" s="30">
        <v>2.0</v>
      </c>
      <c r="BD2" s="30">
        <v>0.0</v>
      </c>
      <c r="BE2" s="30">
        <v>0.0</v>
      </c>
      <c r="BF2" s="30">
        <v>8.0</v>
      </c>
      <c r="BG2" s="30">
        <v>0.0</v>
      </c>
      <c r="BH2" s="31">
        <v>1.0</v>
      </c>
      <c r="BI2" s="24">
        <f t="shared" ref="BI2:BI13" si="12">SUM(BA2:BH2)</f>
        <v>340</v>
      </c>
      <c r="BJ2" s="30">
        <v>0.0</v>
      </c>
      <c r="BK2" s="30">
        <v>34.0</v>
      </c>
      <c r="BL2" s="30">
        <v>65.0</v>
      </c>
      <c r="BM2" s="30">
        <v>0.0</v>
      </c>
      <c r="BN2" s="30">
        <v>95.0</v>
      </c>
      <c r="BO2" s="30">
        <v>0.0</v>
      </c>
      <c r="BP2" s="31">
        <v>146.0</v>
      </c>
      <c r="BQ2" s="24">
        <f t="shared" ref="BQ2:BQ14" si="13">SUM(BJ2:BP2)</f>
        <v>340</v>
      </c>
      <c r="BR2" s="32">
        <v>29.0</v>
      </c>
      <c r="BS2" s="30">
        <v>5.0</v>
      </c>
      <c r="BT2" s="31">
        <v>643.0</v>
      </c>
      <c r="BU2" s="24">
        <f t="shared" ref="BU2:BU13" si="14">SUM(BR2:BT2)</f>
        <v>677</v>
      </c>
    </row>
    <row r="3" ht="21.0" customHeight="1">
      <c r="A3" s="24" t="s">
        <v>70</v>
      </c>
      <c r="B3" s="33">
        <v>293.0</v>
      </c>
      <c r="C3" s="30">
        <v>30.0</v>
      </c>
      <c r="D3" s="31">
        <v>7.0</v>
      </c>
      <c r="E3" s="28">
        <f t="shared" si="1"/>
        <v>330</v>
      </c>
      <c r="F3" s="30">
        <v>45.0</v>
      </c>
      <c r="G3" s="30">
        <v>51.0</v>
      </c>
      <c r="H3" s="30">
        <v>42.0</v>
      </c>
      <c r="I3" s="30">
        <v>46.0</v>
      </c>
      <c r="J3" s="30">
        <v>44.0</v>
      </c>
      <c r="K3" s="30">
        <v>53.0</v>
      </c>
      <c r="L3" s="31">
        <v>49.0</v>
      </c>
      <c r="M3" s="24">
        <f t="shared" si="2"/>
        <v>330</v>
      </c>
      <c r="N3" s="30">
        <v>73.0</v>
      </c>
      <c r="O3" s="31">
        <v>257.0</v>
      </c>
      <c r="P3" s="24">
        <f t="shared" si="3"/>
        <v>330</v>
      </c>
      <c r="Q3" s="30">
        <v>310.0</v>
      </c>
      <c r="R3" s="31">
        <v>20.0</v>
      </c>
      <c r="S3" s="24">
        <f t="shared" si="4"/>
        <v>330</v>
      </c>
      <c r="T3" s="30">
        <v>272.0</v>
      </c>
      <c r="U3" s="30">
        <v>181.0</v>
      </c>
      <c r="V3" s="30">
        <v>2.0</v>
      </c>
      <c r="W3" s="30">
        <v>5.0</v>
      </c>
      <c r="X3" s="30">
        <v>177.0</v>
      </c>
      <c r="Y3" s="30">
        <v>2.0</v>
      </c>
      <c r="Z3" s="31">
        <v>1.0</v>
      </c>
      <c r="AA3" s="24">
        <f t="shared" si="5"/>
        <v>640</v>
      </c>
      <c r="AB3" s="30">
        <v>62.0</v>
      </c>
      <c r="AC3" s="30">
        <v>431.0</v>
      </c>
      <c r="AD3" s="30">
        <v>92.0</v>
      </c>
      <c r="AE3" s="30">
        <v>42.0</v>
      </c>
      <c r="AF3" s="30">
        <v>13.0</v>
      </c>
      <c r="AG3" s="24">
        <f t="shared" si="6"/>
        <v>640</v>
      </c>
      <c r="AH3" s="30">
        <v>503.0</v>
      </c>
      <c r="AI3" s="30">
        <v>137.0</v>
      </c>
      <c r="AJ3" s="24">
        <f t="shared" si="7"/>
        <v>640</v>
      </c>
      <c r="AK3" s="30">
        <v>463.0</v>
      </c>
      <c r="AL3" s="30">
        <v>177.0</v>
      </c>
      <c r="AM3" s="24">
        <f t="shared" si="8"/>
        <v>640</v>
      </c>
      <c r="AN3" s="30">
        <v>639.0</v>
      </c>
      <c r="AO3" s="31">
        <v>1.0</v>
      </c>
      <c r="AP3" s="24">
        <f t="shared" si="9"/>
        <v>640</v>
      </c>
      <c r="AQ3" s="30">
        <v>602.0</v>
      </c>
      <c r="AR3" s="30">
        <v>19.0</v>
      </c>
      <c r="AS3" s="30">
        <v>0.0</v>
      </c>
      <c r="AT3" s="30">
        <v>1.0</v>
      </c>
      <c r="AU3" s="31">
        <v>18.0</v>
      </c>
      <c r="AV3" s="24">
        <f t="shared" ref="AV3:AV13" si="15">SUM(AQ3:AU3)</f>
        <v>640</v>
      </c>
      <c r="AW3" s="29">
        <f t="shared" si="10"/>
        <v>18</v>
      </c>
      <c r="AX3" s="30">
        <v>589.0</v>
      </c>
      <c r="AY3" s="31">
        <v>33.0</v>
      </c>
      <c r="AZ3" s="24">
        <f t="shared" si="11"/>
        <v>640</v>
      </c>
      <c r="BA3" s="30">
        <v>306.0</v>
      </c>
      <c r="BB3" s="30">
        <v>1.0</v>
      </c>
      <c r="BC3" s="30">
        <v>10.0</v>
      </c>
      <c r="BD3" s="30">
        <v>0.0</v>
      </c>
      <c r="BE3" s="30">
        <v>0.0</v>
      </c>
      <c r="BF3" s="30">
        <v>12.0</v>
      </c>
      <c r="BG3" s="30">
        <v>1.0</v>
      </c>
      <c r="BH3" s="31">
        <v>0.0</v>
      </c>
      <c r="BI3" s="24">
        <f t="shared" si="12"/>
        <v>330</v>
      </c>
      <c r="BJ3" s="30">
        <v>3.0</v>
      </c>
      <c r="BK3" s="30">
        <v>29.0</v>
      </c>
      <c r="BL3" s="30">
        <v>58.0</v>
      </c>
      <c r="BM3" s="30">
        <v>0.0</v>
      </c>
      <c r="BN3" s="30">
        <v>90.0</v>
      </c>
      <c r="BO3" s="30">
        <v>0.0</v>
      </c>
      <c r="BP3" s="31">
        <v>150.0</v>
      </c>
      <c r="BQ3" s="24">
        <f t="shared" si="13"/>
        <v>330</v>
      </c>
      <c r="BR3" s="32">
        <v>54.0</v>
      </c>
      <c r="BS3" s="30">
        <v>13.0</v>
      </c>
      <c r="BT3" s="31">
        <v>614.0</v>
      </c>
      <c r="BU3" s="24">
        <f t="shared" si="14"/>
        <v>681</v>
      </c>
    </row>
    <row r="4" ht="21.0" customHeight="1">
      <c r="A4" s="24" t="s">
        <v>71</v>
      </c>
      <c r="B4" s="33">
        <v>347.0</v>
      </c>
      <c r="C4" s="30">
        <v>12.0</v>
      </c>
      <c r="D4" s="31">
        <v>4.0</v>
      </c>
      <c r="E4" s="28">
        <f t="shared" si="1"/>
        <v>363</v>
      </c>
      <c r="F4" s="30">
        <v>62.0</v>
      </c>
      <c r="G4" s="30">
        <v>52.0</v>
      </c>
      <c r="H4" s="30">
        <v>37.0</v>
      </c>
      <c r="I4" s="30">
        <v>48.0</v>
      </c>
      <c r="J4" s="30">
        <v>57.0</v>
      </c>
      <c r="K4" s="30">
        <v>52.0</v>
      </c>
      <c r="L4" s="31">
        <v>55.0</v>
      </c>
      <c r="M4" s="24">
        <f t="shared" ref="M4:M13" si="16">SUM(F4:L4)</f>
        <v>363</v>
      </c>
      <c r="N4" s="30">
        <v>95.0</v>
      </c>
      <c r="O4" s="31">
        <v>268.0</v>
      </c>
      <c r="P4" s="24">
        <f t="shared" si="3"/>
        <v>363</v>
      </c>
      <c r="Q4" s="30">
        <v>351.0</v>
      </c>
      <c r="R4" s="31">
        <v>12.0</v>
      </c>
      <c r="S4" s="24">
        <f t="shared" si="4"/>
        <v>363</v>
      </c>
      <c r="T4" s="30">
        <v>348.0</v>
      </c>
      <c r="U4" s="30">
        <v>185.0</v>
      </c>
      <c r="V4" s="30">
        <v>2.0</v>
      </c>
      <c r="W4" s="30">
        <v>2.0</v>
      </c>
      <c r="X4" s="30">
        <v>179.0</v>
      </c>
      <c r="Y4" s="30">
        <v>0.0</v>
      </c>
      <c r="Z4" s="31">
        <v>0.0</v>
      </c>
      <c r="AA4" s="24">
        <f t="shared" si="5"/>
        <v>716</v>
      </c>
      <c r="AB4" s="30">
        <v>57.0</v>
      </c>
      <c r="AC4" s="30">
        <v>457.0</v>
      </c>
      <c r="AD4" s="30">
        <v>133.0</v>
      </c>
      <c r="AE4" s="30">
        <v>60.0</v>
      </c>
      <c r="AF4" s="30">
        <v>9.0</v>
      </c>
      <c r="AG4" s="24">
        <f t="shared" si="6"/>
        <v>716</v>
      </c>
      <c r="AH4" s="30">
        <v>583.0</v>
      </c>
      <c r="AI4" s="30">
        <v>133.0</v>
      </c>
      <c r="AJ4" s="24">
        <f t="shared" si="7"/>
        <v>716</v>
      </c>
      <c r="AK4" s="30">
        <v>527.0</v>
      </c>
      <c r="AL4" s="30">
        <v>189.0</v>
      </c>
      <c r="AM4" s="24">
        <f t="shared" si="8"/>
        <v>716</v>
      </c>
      <c r="AN4" s="30">
        <v>708.0</v>
      </c>
      <c r="AO4" s="31">
        <v>8.0</v>
      </c>
      <c r="AP4" s="24">
        <f t="shared" si="9"/>
        <v>716</v>
      </c>
      <c r="AQ4" s="30">
        <v>680.0</v>
      </c>
      <c r="AR4" s="30">
        <v>20.0</v>
      </c>
      <c r="AS4" s="30">
        <v>0.0</v>
      </c>
      <c r="AT4" s="30">
        <v>0.0</v>
      </c>
      <c r="AU4" s="31">
        <v>16.0</v>
      </c>
      <c r="AV4" s="24">
        <f t="shared" si="15"/>
        <v>716</v>
      </c>
      <c r="AW4" s="29">
        <f t="shared" si="10"/>
        <v>16</v>
      </c>
      <c r="AX4" s="30">
        <v>660.0</v>
      </c>
      <c r="AY4" s="31">
        <v>40.0</v>
      </c>
      <c r="AZ4" s="24">
        <f t="shared" si="11"/>
        <v>716</v>
      </c>
      <c r="BA4" s="30">
        <v>346.0</v>
      </c>
      <c r="BB4" s="30">
        <v>7.0</v>
      </c>
      <c r="BC4" s="30">
        <v>2.0</v>
      </c>
      <c r="BD4" s="30">
        <v>0.0</v>
      </c>
      <c r="BE4" s="30">
        <v>0.0</v>
      </c>
      <c r="BF4" s="30">
        <v>8.0</v>
      </c>
      <c r="BG4" s="30">
        <v>0.0</v>
      </c>
      <c r="BH4" s="31">
        <v>0.0</v>
      </c>
      <c r="BI4" s="24">
        <f t="shared" si="12"/>
        <v>363</v>
      </c>
      <c r="BJ4" s="30">
        <v>6.0</v>
      </c>
      <c r="BK4" s="30">
        <v>32.0</v>
      </c>
      <c r="BL4" s="30">
        <v>60.0</v>
      </c>
      <c r="BM4" s="30">
        <v>0.0</v>
      </c>
      <c r="BN4" s="30">
        <v>109.0</v>
      </c>
      <c r="BO4" s="30">
        <v>0.0</v>
      </c>
      <c r="BP4" s="31">
        <v>156.0</v>
      </c>
      <c r="BQ4" s="24">
        <f t="shared" si="13"/>
        <v>363</v>
      </c>
      <c r="BR4" s="32">
        <v>25.0</v>
      </c>
      <c r="BS4" s="30">
        <v>4.0</v>
      </c>
      <c r="BT4" s="31">
        <v>704.0</v>
      </c>
      <c r="BU4" s="24">
        <f t="shared" si="14"/>
        <v>733</v>
      </c>
    </row>
    <row r="5" ht="21.0" customHeight="1">
      <c r="A5" s="24" t="s">
        <v>72</v>
      </c>
      <c r="B5" s="33">
        <v>286.0</v>
      </c>
      <c r="C5" s="30">
        <v>16.0</v>
      </c>
      <c r="D5" s="31">
        <v>5.0</v>
      </c>
      <c r="E5" s="28">
        <f t="shared" si="1"/>
        <v>307</v>
      </c>
      <c r="F5" s="30">
        <v>40.0</v>
      </c>
      <c r="G5" s="30">
        <v>51.0</v>
      </c>
      <c r="H5" s="30">
        <v>41.0</v>
      </c>
      <c r="I5" s="30">
        <v>54.0</v>
      </c>
      <c r="J5" s="30">
        <v>41.0</v>
      </c>
      <c r="K5" s="30">
        <v>39.0</v>
      </c>
      <c r="L5" s="31">
        <v>41.0</v>
      </c>
      <c r="M5" s="24">
        <f t="shared" si="16"/>
        <v>307</v>
      </c>
      <c r="N5" s="30">
        <v>64.0</v>
      </c>
      <c r="O5" s="31">
        <v>243.0</v>
      </c>
      <c r="P5" s="24">
        <f t="shared" si="3"/>
        <v>307</v>
      </c>
      <c r="Q5" s="30">
        <v>297.0</v>
      </c>
      <c r="R5" s="31">
        <v>10.0</v>
      </c>
      <c r="S5" s="24">
        <f t="shared" si="4"/>
        <v>307</v>
      </c>
      <c r="T5" s="30">
        <v>288.0</v>
      </c>
      <c r="U5" s="30">
        <v>166.0</v>
      </c>
      <c r="V5" s="30">
        <v>0.0</v>
      </c>
      <c r="W5" s="30">
        <v>0.0</v>
      </c>
      <c r="X5" s="30">
        <v>147.0</v>
      </c>
      <c r="Y5" s="30">
        <v>1.0</v>
      </c>
      <c r="Z5" s="31">
        <v>0.0</v>
      </c>
      <c r="AA5" s="24">
        <f t="shared" si="5"/>
        <v>602</v>
      </c>
      <c r="AB5" s="30">
        <v>58.0</v>
      </c>
      <c r="AC5" s="30">
        <v>385.0</v>
      </c>
      <c r="AD5" s="30">
        <v>107.0</v>
      </c>
      <c r="AE5" s="30">
        <v>46.0</v>
      </c>
      <c r="AF5" s="30">
        <v>6.0</v>
      </c>
      <c r="AG5" s="24">
        <f t="shared" si="6"/>
        <v>602</v>
      </c>
      <c r="AH5" s="30">
        <v>497.0</v>
      </c>
      <c r="AI5" s="30">
        <v>105.0</v>
      </c>
      <c r="AJ5" s="24">
        <f t="shared" si="7"/>
        <v>602</v>
      </c>
      <c r="AK5" s="30">
        <v>474.0</v>
      </c>
      <c r="AL5" s="30">
        <v>128.0</v>
      </c>
      <c r="AM5" s="24">
        <f t="shared" si="8"/>
        <v>602</v>
      </c>
      <c r="AN5" s="30">
        <v>596.0</v>
      </c>
      <c r="AO5" s="31">
        <v>6.0</v>
      </c>
      <c r="AP5" s="24">
        <f t="shared" si="9"/>
        <v>602</v>
      </c>
      <c r="AQ5" s="30">
        <v>577.0</v>
      </c>
      <c r="AR5" s="30">
        <v>17.0</v>
      </c>
      <c r="AS5" s="30">
        <v>0.0</v>
      </c>
      <c r="AT5" s="30">
        <v>0.0</v>
      </c>
      <c r="AU5" s="31">
        <v>8.0</v>
      </c>
      <c r="AV5" s="24">
        <f t="shared" si="15"/>
        <v>602</v>
      </c>
      <c r="AW5" s="29">
        <f t="shared" si="10"/>
        <v>8</v>
      </c>
      <c r="AX5" s="30">
        <v>562.0</v>
      </c>
      <c r="AY5" s="31">
        <v>32.0</v>
      </c>
      <c r="AZ5" s="24">
        <f t="shared" si="11"/>
        <v>602</v>
      </c>
      <c r="BA5" s="30">
        <v>298.0</v>
      </c>
      <c r="BB5" s="30">
        <v>4.0</v>
      </c>
      <c r="BC5" s="30">
        <v>3.0</v>
      </c>
      <c r="BD5" s="30">
        <v>1.0</v>
      </c>
      <c r="BE5" s="30">
        <v>0.0</v>
      </c>
      <c r="BF5" s="30">
        <v>1.0</v>
      </c>
      <c r="BG5" s="30">
        <v>0.0</v>
      </c>
      <c r="BH5" s="31">
        <v>0.0</v>
      </c>
      <c r="BI5" s="24">
        <f t="shared" si="12"/>
        <v>307</v>
      </c>
      <c r="BJ5" s="30">
        <v>0.0</v>
      </c>
      <c r="BK5" s="30">
        <v>28.0</v>
      </c>
      <c r="BL5" s="30">
        <v>65.0</v>
      </c>
      <c r="BM5" s="30">
        <v>0.0</v>
      </c>
      <c r="BN5" s="30">
        <v>85.0</v>
      </c>
      <c r="BO5" s="30">
        <v>0.0</v>
      </c>
      <c r="BP5" s="31">
        <v>129.0</v>
      </c>
      <c r="BQ5" s="24">
        <f t="shared" si="13"/>
        <v>307</v>
      </c>
      <c r="BR5" s="32">
        <v>16.0</v>
      </c>
      <c r="BS5" s="30">
        <v>5.0</v>
      </c>
      <c r="BT5" s="31">
        <v>601.0</v>
      </c>
      <c r="BU5" s="24">
        <f t="shared" si="14"/>
        <v>622</v>
      </c>
    </row>
    <row r="6" ht="21.0" customHeight="1">
      <c r="A6" s="34" t="s">
        <v>73</v>
      </c>
      <c r="B6" s="33">
        <v>254.0</v>
      </c>
      <c r="C6" s="30">
        <v>20.0</v>
      </c>
      <c r="D6" s="31">
        <v>7.0</v>
      </c>
      <c r="E6" s="28">
        <f t="shared" si="1"/>
        <v>281</v>
      </c>
      <c r="F6" s="30">
        <v>17.0</v>
      </c>
      <c r="G6" s="30">
        <v>26.0</v>
      </c>
      <c r="H6" s="30">
        <v>45.0</v>
      </c>
      <c r="I6" s="30">
        <v>61.0</v>
      </c>
      <c r="J6" s="30">
        <v>47.0</v>
      </c>
      <c r="K6" s="30">
        <v>44.0</v>
      </c>
      <c r="L6" s="31">
        <v>41.0</v>
      </c>
      <c r="M6" s="24">
        <f t="shared" si="16"/>
        <v>281</v>
      </c>
      <c r="N6" s="30">
        <v>85.0</v>
      </c>
      <c r="O6" s="31">
        <v>196.0</v>
      </c>
      <c r="P6" s="24">
        <f t="shared" si="3"/>
        <v>281</v>
      </c>
      <c r="Q6" s="30">
        <v>265.0</v>
      </c>
      <c r="R6" s="31">
        <v>16.0</v>
      </c>
      <c r="S6" s="24">
        <f t="shared" si="4"/>
        <v>281</v>
      </c>
      <c r="T6" s="30">
        <v>284.0</v>
      </c>
      <c r="U6" s="30">
        <v>132.0</v>
      </c>
      <c r="V6" s="30">
        <v>1.0</v>
      </c>
      <c r="W6" s="30">
        <v>1.0</v>
      </c>
      <c r="X6" s="30">
        <v>127.0</v>
      </c>
      <c r="Y6" s="30">
        <v>0.0</v>
      </c>
      <c r="Z6" s="31">
        <v>4.0</v>
      </c>
      <c r="AA6" s="24">
        <f t="shared" si="5"/>
        <v>549</v>
      </c>
      <c r="AB6" s="30">
        <v>80.0</v>
      </c>
      <c r="AC6" s="30">
        <v>326.0</v>
      </c>
      <c r="AD6" s="30">
        <v>93.0</v>
      </c>
      <c r="AE6" s="30">
        <v>41.0</v>
      </c>
      <c r="AF6" s="30">
        <v>7.0</v>
      </c>
      <c r="AG6" s="24">
        <f t="shared" si="6"/>
        <v>547</v>
      </c>
      <c r="AH6" s="30">
        <v>453.0</v>
      </c>
      <c r="AI6" s="30">
        <v>94.0</v>
      </c>
      <c r="AJ6" s="24">
        <f t="shared" si="7"/>
        <v>547</v>
      </c>
      <c r="AK6" s="30">
        <v>434.0</v>
      </c>
      <c r="AL6" s="30">
        <v>113.0</v>
      </c>
      <c r="AM6" s="24">
        <f t="shared" si="8"/>
        <v>547</v>
      </c>
      <c r="AN6" s="30">
        <v>539.0</v>
      </c>
      <c r="AO6" s="31">
        <v>8.0</v>
      </c>
      <c r="AP6" s="24">
        <f t="shared" si="9"/>
        <v>547</v>
      </c>
      <c r="AQ6" s="30">
        <v>509.0</v>
      </c>
      <c r="AR6" s="30">
        <v>17.0</v>
      </c>
      <c r="AS6" s="30">
        <v>2.0</v>
      </c>
      <c r="AT6" s="30">
        <v>0.0</v>
      </c>
      <c r="AU6" s="31">
        <v>19.0</v>
      </c>
      <c r="AV6" s="24">
        <f t="shared" si="15"/>
        <v>547</v>
      </c>
      <c r="AW6" s="29">
        <f t="shared" si="10"/>
        <v>19</v>
      </c>
      <c r="AX6" s="30">
        <v>490.0</v>
      </c>
      <c r="AY6" s="31">
        <v>38.0</v>
      </c>
      <c r="AZ6" s="24">
        <f t="shared" si="11"/>
        <v>547</v>
      </c>
      <c r="BA6" s="30">
        <v>267.0</v>
      </c>
      <c r="BB6" s="30">
        <v>7.0</v>
      </c>
      <c r="BC6" s="30">
        <v>5.0</v>
      </c>
      <c r="BD6" s="30">
        <v>2.0</v>
      </c>
      <c r="BE6" s="30">
        <v>0.0</v>
      </c>
      <c r="BF6" s="30">
        <v>0.0</v>
      </c>
      <c r="BG6" s="30">
        <v>0.0</v>
      </c>
      <c r="BH6" s="31">
        <v>0.0</v>
      </c>
      <c r="BI6" s="24">
        <f t="shared" si="12"/>
        <v>281</v>
      </c>
      <c r="BJ6" s="30">
        <v>0.0</v>
      </c>
      <c r="BK6" s="30">
        <v>30.0</v>
      </c>
      <c r="BL6" s="30">
        <v>62.0</v>
      </c>
      <c r="BM6" s="30">
        <v>0.0</v>
      </c>
      <c r="BN6" s="30">
        <v>84.0</v>
      </c>
      <c r="BO6" s="30">
        <v>0.0</v>
      </c>
      <c r="BP6" s="31">
        <v>105.0</v>
      </c>
      <c r="BQ6" s="24">
        <f t="shared" si="13"/>
        <v>281</v>
      </c>
      <c r="BR6" s="32">
        <v>21.0</v>
      </c>
      <c r="BS6" s="30">
        <v>7.0</v>
      </c>
      <c r="BT6" s="31">
        <v>543.0</v>
      </c>
      <c r="BU6" s="24">
        <f t="shared" si="14"/>
        <v>571</v>
      </c>
    </row>
    <row r="7" ht="21.0" customHeight="1">
      <c r="A7" s="34" t="s">
        <v>74</v>
      </c>
      <c r="B7" s="33">
        <v>288.0</v>
      </c>
      <c r="C7" s="30">
        <v>13.0</v>
      </c>
      <c r="D7" s="31">
        <v>2.0</v>
      </c>
      <c r="E7" s="28">
        <f t="shared" si="1"/>
        <v>303</v>
      </c>
      <c r="F7" s="30">
        <v>47.0</v>
      </c>
      <c r="G7" s="30">
        <v>38.0</v>
      </c>
      <c r="H7" s="30">
        <v>39.0</v>
      </c>
      <c r="I7" s="30">
        <v>43.0</v>
      </c>
      <c r="J7" s="30">
        <v>41.0</v>
      </c>
      <c r="K7" s="30">
        <v>50.0</v>
      </c>
      <c r="L7" s="31">
        <v>45.0</v>
      </c>
      <c r="M7" s="24">
        <f t="shared" si="16"/>
        <v>303</v>
      </c>
      <c r="N7" s="30">
        <v>72.0</v>
      </c>
      <c r="O7" s="31">
        <v>231.0</v>
      </c>
      <c r="P7" s="24">
        <f t="shared" si="3"/>
        <v>303</v>
      </c>
      <c r="Q7" s="30">
        <v>295.0</v>
      </c>
      <c r="R7" s="31">
        <v>8.0</v>
      </c>
      <c r="S7" s="24">
        <f t="shared" si="4"/>
        <v>303</v>
      </c>
      <c r="T7" s="30">
        <v>272.0</v>
      </c>
      <c r="U7" s="30">
        <v>173.0</v>
      </c>
      <c r="V7" s="30">
        <v>0.0</v>
      </c>
      <c r="W7" s="30">
        <v>0.0</v>
      </c>
      <c r="X7" s="30">
        <v>149.0</v>
      </c>
      <c r="Y7" s="30">
        <v>0.0</v>
      </c>
      <c r="Z7" s="31">
        <v>1.0</v>
      </c>
      <c r="AA7" s="24">
        <f t="shared" si="5"/>
        <v>595</v>
      </c>
      <c r="AB7" s="30">
        <v>54.0</v>
      </c>
      <c r="AC7" s="30">
        <v>382.0</v>
      </c>
      <c r="AD7" s="30">
        <v>107.0</v>
      </c>
      <c r="AE7" s="30">
        <v>48.0</v>
      </c>
      <c r="AF7" s="30">
        <v>4.0</v>
      </c>
      <c r="AG7" s="24">
        <f t="shared" si="6"/>
        <v>595</v>
      </c>
      <c r="AH7" s="30">
        <v>492.0</v>
      </c>
      <c r="AI7" s="30">
        <v>103.0</v>
      </c>
      <c r="AJ7" s="24">
        <f t="shared" si="7"/>
        <v>595</v>
      </c>
      <c r="AK7" s="30">
        <v>456.0</v>
      </c>
      <c r="AL7" s="30">
        <v>139.0</v>
      </c>
      <c r="AM7" s="24">
        <f t="shared" si="8"/>
        <v>595</v>
      </c>
      <c r="AN7" s="30">
        <v>589.0</v>
      </c>
      <c r="AO7" s="31">
        <v>6.0</v>
      </c>
      <c r="AP7" s="24">
        <f t="shared" si="9"/>
        <v>595</v>
      </c>
      <c r="AQ7" s="30">
        <v>572.0</v>
      </c>
      <c r="AR7" s="30">
        <v>12.0</v>
      </c>
      <c r="AS7" s="30">
        <v>0.0</v>
      </c>
      <c r="AT7" s="30">
        <v>0.0</v>
      </c>
      <c r="AU7" s="31">
        <v>11.0</v>
      </c>
      <c r="AV7" s="24">
        <f t="shared" si="15"/>
        <v>595</v>
      </c>
      <c r="AW7" s="29">
        <f t="shared" si="10"/>
        <v>11</v>
      </c>
      <c r="AX7" s="30">
        <v>550.0</v>
      </c>
      <c r="AY7" s="31">
        <v>34.0</v>
      </c>
      <c r="AZ7" s="24">
        <f t="shared" si="11"/>
        <v>595</v>
      </c>
      <c r="BA7" s="30">
        <v>287.0</v>
      </c>
      <c r="BB7" s="30">
        <v>7.0</v>
      </c>
      <c r="BC7" s="30">
        <v>2.0</v>
      </c>
      <c r="BD7" s="30">
        <v>1.0</v>
      </c>
      <c r="BE7" s="30">
        <v>0.0</v>
      </c>
      <c r="BF7" s="30">
        <v>6.0</v>
      </c>
      <c r="BG7" s="30">
        <v>0.0</v>
      </c>
      <c r="BH7" s="31">
        <v>0.0</v>
      </c>
      <c r="BI7" s="24">
        <f t="shared" si="12"/>
        <v>303</v>
      </c>
      <c r="BJ7" s="30">
        <v>0.0</v>
      </c>
      <c r="BK7" s="30">
        <v>30.0</v>
      </c>
      <c r="BL7" s="30">
        <v>65.0</v>
      </c>
      <c r="BM7" s="30">
        <v>0.0</v>
      </c>
      <c r="BN7" s="30">
        <v>83.0</v>
      </c>
      <c r="BO7" s="30">
        <v>0.0</v>
      </c>
      <c r="BP7" s="31">
        <v>125.0</v>
      </c>
      <c r="BQ7" s="24">
        <f t="shared" si="13"/>
        <v>303</v>
      </c>
      <c r="BR7" s="32">
        <v>20.0</v>
      </c>
      <c r="BS7" s="30">
        <v>3.0</v>
      </c>
      <c r="BT7" s="31">
        <v>583.0</v>
      </c>
      <c r="BU7" s="24">
        <f t="shared" si="14"/>
        <v>606</v>
      </c>
    </row>
    <row r="8" ht="21.0" customHeight="1">
      <c r="A8" s="24" t="s">
        <v>75</v>
      </c>
      <c r="B8" s="33">
        <v>285.0</v>
      </c>
      <c r="C8" s="30">
        <v>27.0</v>
      </c>
      <c r="D8" s="31">
        <v>0.0</v>
      </c>
      <c r="E8" s="28">
        <f t="shared" si="1"/>
        <v>312</v>
      </c>
      <c r="F8" s="30">
        <v>53.0</v>
      </c>
      <c r="G8" s="30">
        <v>44.0</v>
      </c>
      <c r="H8" s="30">
        <v>47.0</v>
      </c>
      <c r="I8" s="30">
        <v>42.0</v>
      </c>
      <c r="J8" s="30">
        <v>41.0</v>
      </c>
      <c r="K8" s="30">
        <v>42.0</v>
      </c>
      <c r="L8" s="31">
        <v>43.0</v>
      </c>
      <c r="M8" s="24">
        <f t="shared" si="16"/>
        <v>312</v>
      </c>
      <c r="N8" s="30">
        <v>66.0</v>
      </c>
      <c r="O8" s="31">
        <v>246.0</v>
      </c>
      <c r="P8" s="24">
        <f t="shared" si="3"/>
        <v>312</v>
      </c>
      <c r="Q8" s="30">
        <v>301.0</v>
      </c>
      <c r="R8" s="31">
        <v>11.0</v>
      </c>
      <c r="S8" s="24">
        <f t="shared" si="4"/>
        <v>312</v>
      </c>
      <c r="T8" s="30">
        <v>261.0</v>
      </c>
      <c r="U8" s="30">
        <v>183.0</v>
      </c>
      <c r="V8" s="30">
        <v>0.0</v>
      </c>
      <c r="W8" s="30">
        <v>0.0</v>
      </c>
      <c r="X8" s="30">
        <v>166.0</v>
      </c>
      <c r="Y8" s="30">
        <v>0.0</v>
      </c>
      <c r="Z8" s="31">
        <v>1.0</v>
      </c>
      <c r="AA8" s="24">
        <f t="shared" si="5"/>
        <v>611</v>
      </c>
      <c r="AB8" s="30">
        <v>57.0</v>
      </c>
      <c r="AC8" s="30">
        <v>415.0</v>
      </c>
      <c r="AD8" s="30">
        <v>92.0</v>
      </c>
      <c r="AE8" s="30">
        <v>37.0</v>
      </c>
      <c r="AF8" s="30">
        <v>10.0</v>
      </c>
      <c r="AG8" s="24">
        <f t="shared" si="6"/>
        <v>611</v>
      </c>
      <c r="AH8" s="30">
        <v>487.0</v>
      </c>
      <c r="AI8" s="30">
        <v>124.0</v>
      </c>
      <c r="AJ8" s="24">
        <f t="shared" si="7"/>
        <v>611</v>
      </c>
      <c r="AK8" s="30">
        <v>453.0</v>
      </c>
      <c r="AL8" s="30">
        <v>158.0</v>
      </c>
      <c r="AM8" s="24">
        <f t="shared" si="8"/>
        <v>611</v>
      </c>
      <c r="AN8" s="30">
        <v>607.0</v>
      </c>
      <c r="AO8" s="31">
        <v>4.0</v>
      </c>
      <c r="AP8" s="24">
        <f t="shared" si="9"/>
        <v>611</v>
      </c>
      <c r="AQ8" s="30">
        <v>586.0</v>
      </c>
      <c r="AR8" s="30">
        <v>9.0</v>
      </c>
      <c r="AS8" s="30">
        <v>0.0</v>
      </c>
      <c r="AT8" s="30">
        <v>0.0</v>
      </c>
      <c r="AU8" s="31">
        <v>16.0</v>
      </c>
      <c r="AV8" s="24">
        <f t="shared" si="15"/>
        <v>611</v>
      </c>
      <c r="AW8" s="29">
        <f t="shared" si="10"/>
        <v>16</v>
      </c>
      <c r="AX8" s="30">
        <v>568.0</v>
      </c>
      <c r="AY8" s="31">
        <v>27.0</v>
      </c>
      <c r="AZ8" s="24">
        <f t="shared" si="11"/>
        <v>611</v>
      </c>
      <c r="BA8" s="30">
        <v>295.0</v>
      </c>
      <c r="BB8" s="30">
        <v>4.0</v>
      </c>
      <c r="BC8" s="30">
        <v>6.0</v>
      </c>
      <c r="BD8" s="30">
        <v>3.0</v>
      </c>
      <c r="BE8" s="30">
        <v>0.0</v>
      </c>
      <c r="BF8" s="30">
        <v>1.0</v>
      </c>
      <c r="BG8" s="30">
        <v>0.0</v>
      </c>
      <c r="BH8" s="31">
        <v>3.0</v>
      </c>
      <c r="BI8" s="24">
        <f t="shared" si="12"/>
        <v>312</v>
      </c>
      <c r="BJ8" s="30">
        <v>0.0</v>
      </c>
      <c r="BK8" s="30">
        <v>30.0</v>
      </c>
      <c r="BL8" s="30">
        <v>62.0</v>
      </c>
      <c r="BM8" s="30">
        <v>0.0</v>
      </c>
      <c r="BN8" s="30">
        <v>76.0</v>
      </c>
      <c r="BO8" s="30">
        <v>0.0</v>
      </c>
      <c r="BP8" s="31">
        <v>144.0</v>
      </c>
      <c r="BQ8" s="24">
        <f t="shared" si="13"/>
        <v>312</v>
      </c>
      <c r="BR8" s="32">
        <v>43.0</v>
      </c>
      <c r="BS8" s="30">
        <v>0.0</v>
      </c>
      <c r="BT8" s="31">
        <v>597.0</v>
      </c>
      <c r="BU8" s="24">
        <f t="shared" si="14"/>
        <v>640</v>
      </c>
    </row>
    <row r="9" ht="21.0" customHeight="1">
      <c r="A9" s="24" t="s">
        <v>76</v>
      </c>
      <c r="B9" s="33">
        <v>283.0</v>
      </c>
      <c r="C9" s="30">
        <v>17.0</v>
      </c>
      <c r="D9" s="31">
        <v>5.0</v>
      </c>
      <c r="E9" s="28">
        <f t="shared" si="1"/>
        <v>305</v>
      </c>
      <c r="F9" s="30">
        <v>36.0</v>
      </c>
      <c r="G9" s="30">
        <v>60.0</v>
      </c>
      <c r="H9" s="30">
        <v>44.0</v>
      </c>
      <c r="I9" s="30">
        <v>43.0</v>
      </c>
      <c r="J9" s="30">
        <v>46.0</v>
      </c>
      <c r="K9" s="30">
        <v>34.0</v>
      </c>
      <c r="L9" s="31">
        <v>42.0</v>
      </c>
      <c r="M9" s="24">
        <f t="shared" si="16"/>
        <v>305</v>
      </c>
      <c r="N9" s="30">
        <v>77.0</v>
      </c>
      <c r="O9" s="31">
        <v>228.0</v>
      </c>
      <c r="P9" s="24">
        <f t="shared" si="3"/>
        <v>305</v>
      </c>
      <c r="Q9" s="30">
        <v>290.0</v>
      </c>
      <c r="R9" s="31">
        <v>15.0</v>
      </c>
      <c r="S9" s="24">
        <f t="shared" si="4"/>
        <v>305</v>
      </c>
      <c r="T9" s="30">
        <v>271.0</v>
      </c>
      <c r="U9" s="30">
        <v>172.0</v>
      </c>
      <c r="V9" s="30">
        <v>0.0</v>
      </c>
      <c r="W9" s="30">
        <v>0.0</v>
      </c>
      <c r="X9" s="30">
        <v>155.0</v>
      </c>
      <c r="Y9" s="30">
        <v>0.0</v>
      </c>
      <c r="Z9" s="31">
        <v>1.0</v>
      </c>
      <c r="AA9" s="24">
        <f t="shared" si="5"/>
        <v>599</v>
      </c>
      <c r="AB9" s="30">
        <v>53.0</v>
      </c>
      <c r="AC9" s="30">
        <v>378.0</v>
      </c>
      <c r="AD9" s="30">
        <v>112.0</v>
      </c>
      <c r="AE9" s="30">
        <v>49.0</v>
      </c>
      <c r="AF9" s="30">
        <v>7.0</v>
      </c>
      <c r="AG9" s="24">
        <f t="shared" si="6"/>
        <v>599</v>
      </c>
      <c r="AH9" s="30">
        <v>492.0</v>
      </c>
      <c r="AI9" s="30">
        <v>107.0</v>
      </c>
      <c r="AJ9" s="24">
        <f t="shared" si="7"/>
        <v>599</v>
      </c>
      <c r="AK9" s="30">
        <v>458.0</v>
      </c>
      <c r="AL9" s="30">
        <v>141.0</v>
      </c>
      <c r="AM9" s="24">
        <f t="shared" si="8"/>
        <v>599</v>
      </c>
      <c r="AN9" s="30">
        <v>591.0</v>
      </c>
      <c r="AO9" s="31">
        <v>8.0</v>
      </c>
      <c r="AP9" s="24">
        <f t="shared" si="9"/>
        <v>599</v>
      </c>
      <c r="AQ9" s="30">
        <v>576.0</v>
      </c>
      <c r="AR9" s="30">
        <v>14.0</v>
      </c>
      <c r="AS9" s="30">
        <v>0.0</v>
      </c>
      <c r="AT9" s="30">
        <v>0.0</v>
      </c>
      <c r="AU9" s="31">
        <v>9.0</v>
      </c>
      <c r="AV9" s="24">
        <f t="shared" si="15"/>
        <v>599</v>
      </c>
      <c r="AW9" s="29">
        <f t="shared" si="10"/>
        <v>9</v>
      </c>
      <c r="AX9" s="30">
        <v>554.0</v>
      </c>
      <c r="AY9" s="31">
        <v>36.0</v>
      </c>
      <c r="AZ9" s="24">
        <f t="shared" si="11"/>
        <v>599</v>
      </c>
      <c r="BA9" s="30">
        <v>287.0</v>
      </c>
      <c r="BB9" s="30">
        <v>10.0</v>
      </c>
      <c r="BC9" s="30">
        <v>3.0</v>
      </c>
      <c r="BD9" s="30">
        <v>0.0</v>
      </c>
      <c r="BE9" s="30">
        <v>0.0</v>
      </c>
      <c r="BF9" s="30">
        <v>4.0</v>
      </c>
      <c r="BG9" s="30">
        <v>0.0</v>
      </c>
      <c r="BH9" s="31">
        <v>1.0</v>
      </c>
      <c r="BI9" s="24">
        <f t="shared" si="12"/>
        <v>305</v>
      </c>
      <c r="BJ9" s="30">
        <v>0.0</v>
      </c>
      <c r="BK9" s="30">
        <v>28.0</v>
      </c>
      <c r="BL9" s="30">
        <v>60.0</v>
      </c>
      <c r="BM9" s="30">
        <v>2.0</v>
      </c>
      <c r="BN9" s="30">
        <v>89.0</v>
      </c>
      <c r="BO9" s="30">
        <v>0.0</v>
      </c>
      <c r="BP9" s="31">
        <v>126.0</v>
      </c>
      <c r="BQ9" s="24">
        <f t="shared" si="13"/>
        <v>305</v>
      </c>
      <c r="BR9" s="32">
        <v>40.0</v>
      </c>
      <c r="BS9" s="30">
        <v>8.0</v>
      </c>
      <c r="BT9" s="31">
        <v>586.0</v>
      </c>
      <c r="BU9" s="24">
        <f t="shared" si="14"/>
        <v>634</v>
      </c>
    </row>
    <row r="10" ht="21.0" customHeight="1">
      <c r="A10" s="24" t="s">
        <v>77</v>
      </c>
      <c r="B10" s="33">
        <v>289.0</v>
      </c>
      <c r="C10" s="30">
        <v>15.0</v>
      </c>
      <c r="D10" s="31">
        <v>6.0</v>
      </c>
      <c r="E10" s="28">
        <f t="shared" si="1"/>
        <v>310</v>
      </c>
      <c r="F10" s="30">
        <v>45.0</v>
      </c>
      <c r="G10" s="30">
        <v>39.0</v>
      </c>
      <c r="H10" s="30">
        <v>45.0</v>
      </c>
      <c r="I10" s="30">
        <v>42.0</v>
      </c>
      <c r="J10" s="30">
        <v>38.0</v>
      </c>
      <c r="K10" s="30">
        <v>43.0</v>
      </c>
      <c r="L10" s="31">
        <v>58.0</v>
      </c>
      <c r="M10" s="24">
        <f t="shared" si="16"/>
        <v>310</v>
      </c>
      <c r="N10" s="30">
        <v>76.0</v>
      </c>
      <c r="O10" s="31">
        <v>234.0</v>
      </c>
      <c r="P10" s="24">
        <f t="shared" si="3"/>
        <v>310</v>
      </c>
      <c r="Q10" s="30">
        <v>298.0</v>
      </c>
      <c r="R10" s="31">
        <v>12.0</v>
      </c>
      <c r="S10" s="24">
        <f t="shared" si="4"/>
        <v>310</v>
      </c>
      <c r="T10" s="30">
        <v>282.0</v>
      </c>
      <c r="U10" s="30">
        <v>170.0</v>
      </c>
      <c r="V10" s="30">
        <v>0.0</v>
      </c>
      <c r="W10" s="30">
        <v>0.0</v>
      </c>
      <c r="X10" s="30">
        <v>155.0</v>
      </c>
      <c r="Y10" s="30">
        <v>0.0</v>
      </c>
      <c r="Z10" s="31">
        <v>0.0</v>
      </c>
      <c r="AA10" s="24">
        <f t="shared" si="5"/>
        <v>607</v>
      </c>
      <c r="AB10" s="30">
        <v>57.0</v>
      </c>
      <c r="AC10" s="30">
        <v>395.0</v>
      </c>
      <c r="AD10" s="30">
        <v>102.0</v>
      </c>
      <c r="AE10" s="30">
        <v>46.0</v>
      </c>
      <c r="AF10" s="30">
        <v>7.0</v>
      </c>
      <c r="AG10" s="24">
        <f t="shared" si="6"/>
        <v>607</v>
      </c>
      <c r="AH10" s="30">
        <v>496.0</v>
      </c>
      <c r="AI10" s="30">
        <v>111.0</v>
      </c>
      <c r="AJ10" s="24">
        <f t="shared" si="7"/>
        <v>607</v>
      </c>
      <c r="AK10" s="30">
        <v>455.0</v>
      </c>
      <c r="AL10" s="30">
        <v>152.0</v>
      </c>
      <c r="AM10" s="24">
        <f t="shared" si="8"/>
        <v>607</v>
      </c>
      <c r="AN10" s="30">
        <v>601.0</v>
      </c>
      <c r="AO10" s="31">
        <v>6.0</v>
      </c>
      <c r="AP10" s="24">
        <f t="shared" si="9"/>
        <v>607</v>
      </c>
      <c r="AQ10" s="30">
        <v>577.0</v>
      </c>
      <c r="AR10" s="30">
        <v>14.0</v>
      </c>
      <c r="AS10" s="30">
        <v>0.0</v>
      </c>
      <c r="AT10" s="30">
        <v>0.0</v>
      </c>
      <c r="AU10" s="31">
        <v>16.0</v>
      </c>
      <c r="AV10" s="24">
        <f t="shared" si="15"/>
        <v>607</v>
      </c>
      <c r="AW10" s="29">
        <f t="shared" si="10"/>
        <v>16</v>
      </c>
      <c r="AX10" s="30">
        <v>556.0</v>
      </c>
      <c r="AY10" s="31">
        <v>35.0</v>
      </c>
      <c r="AZ10" s="24">
        <f t="shared" si="11"/>
        <v>607</v>
      </c>
      <c r="BA10" s="30">
        <v>295.0</v>
      </c>
      <c r="BB10" s="30">
        <v>4.0</v>
      </c>
      <c r="BC10" s="30">
        <v>6.0</v>
      </c>
      <c r="BD10" s="30">
        <v>0.0</v>
      </c>
      <c r="BE10" s="30">
        <v>0.0</v>
      </c>
      <c r="BF10" s="30">
        <v>5.0</v>
      </c>
      <c r="BG10" s="30">
        <v>0.0</v>
      </c>
      <c r="BH10" s="31">
        <v>0.0</v>
      </c>
      <c r="BI10" s="24">
        <f t="shared" si="12"/>
        <v>310</v>
      </c>
      <c r="BJ10" s="30">
        <v>0.0</v>
      </c>
      <c r="BK10" s="30">
        <v>31.0</v>
      </c>
      <c r="BL10" s="30">
        <v>64.0</v>
      </c>
      <c r="BM10" s="30">
        <v>0.0</v>
      </c>
      <c r="BN10" s="30">
        <v>84.0</v>
      </c>
      <c r="BO10" s="30">
        <v>0.0</v>
      </c>
      <c r="BP10" s="31">
        <v>131.0</v>
      </c>
      <c r="BQ10" s="24">
        <f t="shared" si="13"/>
        <v>310</v>
      </c>
      <c r="BR10" s="32">
        <v>33.0</v>
      </c>
      <c r="BS10" s="30">
        <v>8.0</v>
      </c>
      <c r="BT10" s="31">
        <v>590.0</v>
      </c>
      <c r="BU10" s="24">
        <f t="shared" si="14"/>
        <v>631</v>
      </c>
    </row>
    <row r="11" ht="21.0" customHeight="1">
      <c r="A11" s="24" t="s">
        <v>78</v>
      </c>
      <c r="B11" s="33">
        <v>303.0</v>
      </c>
      <c r="C11" s="30">
        <v>14.0</v>
      </c>
      <c r="D11" s="31">
        <v>1.0</v>
      </c>
      <c r="E11" s="28">
        <f t="shared" si="1"/>
        <v>318</v>
      </c>
      <c r="F11" s="30">
        <v>46.0</v>
      </c>
      <c r="G11" s="30">
        <v>45.0</v>
      </c>
      <c r="H11" s="30">
        <v>45.0</v>
      </c>
      <c r="I11" s="30">
        <v>43.0</v>
      </c>
      <c r="J11" s="30">
        <v>54.0</v>
      </c>
      <c r="K11" s="30">
        <v>42.0</v>
      </c>
      <c r="L11" s="31">
        <v>43.0</v>
      </c>
      <c r="M11" s="24">
        <f t="shared" si="16"/>
        <v>318</v>
      </c>
      <c r="N11" s="30">
        <v>68.0</v>
      </c>
      <c r="O11" s="31">
        <v>250.0</v>
      </c>
      <c r="P11" s="24">
        <f t="shared" si="3"/>
        <v>318</v>
      </c>
      <c r="Q11" s="30">
        <v>309.0</v>
      </c>
      <c r="R11" s="31">
        <v>9.0</v>
      </c>
      <c r="S11" s="24">
        <f t="shared" si="4"/>
        <v>318</v>
      </c>
      <c r="T11" s="30">
        <v>268.0</v>
      </c>
      <c r="U11" s="30">
        <v>185.0</v>
      </c>
      <c r="V11" s="30">
        <v>0.0</v>
      </c>
      <c r="W11" s="30">
        <v>0.0</v>
      </c>
      <c r="X11" s="30">
        <v>174.0</v>
      </c>
      <c r="Y11" s="30">
        <v>0.0</v>
      </c>
      <c r="Z11" s="31">
        <v>0.0</v>
      </c>
      <c r="AA11" s="24">
        <f t="shared" si="5"/>
        <v>627</v>
      </c>
      <c r="AB11" s="30">
        <v>56.0</v>
      </c>
      <c r="AC11" s="30">
        <v>425.0</v>
      </c>
      <c r="AD11" s="30">
        <v>97.0</v>
      </c>
      <c r="AE11" s="30">
        <v>40.0</v>
      </c>
      <c r="AF11" s="30">
        <v>9.0</v>
      </c>
      <c r="AG11" s="24">
        <f t="shared" si="6"/>
        <v>627</v>
      </c>
      <c r="AH11" s="30">
        <v>521.0</v>
      </c>
      <c r="AI11" s="30">
        <v>106.0</v>
      </c>
      <c r="AJ11" s="24">
        <f t="shared" si="7"/>
        <v>627</v>
      </c>
      <c r="AK11" s="30">
        <v>485.0</v>
      </c>
      <c r="AL11" s="30">
        <v>142.0</v>
      </c>
      <c r="AM11" s="24">
        <f t="shared" si="8"/>
        <v>627</v>
      </c>
      <c r="AN11" s="30">
        <v>623.0</v>
      </c>
      <c r="AO11" s="31">
        <v>4.0</v>
      </c>
      <c r="AP11" s="24">
        <f t="shared" si="9"/>
        <v>627</v>
      </c>
      <c r="AQ11" s="30">
        <v>604.0</v>
      </c>
      <c r="AR11" s="30">
        <v>11.0</v>
      </c>
      <c r="AS11" s="30">
        <v>0.0</v>
      </c>
      <c r="AT11" s="30">
        <v>0.0</v>
      </c>
      <c r="AU11" s="31">
        <v>12.0</v>
      </c>
      <c r="AV11" s="24">
        <f t="shared" si="15"/>
        <v>627</v>
      </c>
      <c r="AW11" s="29">
        <f t="shared" si="10"/>
        <v>12</v>
      </c>
      <c r="AX11" s="30">
        <v>576.0</v>
      </c>
      <c r="AY11" s="31">
        <v>39.0</v>
      </c>
      <c r="AZ11" s="24">
        <f t="shared" si="11"/>
        <v>627</v>
      </c>
      <c r="BA11" s="30">
        <v>308.0</v>
      </c>
      <c r="BB11" s="30">
        <v>2.0</v>
      </c>
      <c r="BC11" s="30">
        <v>1.0</v>
      </c>
      <c r="BD11" s="30">
        <v>1.0</v>
      </c>
      <c r="BE11" s="30">
        <v>0.0</v>
      </c>
      <c r="BF11" s="30">
        <v>5.0</v>
      </c>
      <c r="BG11" s="30">
        <v>0.0</v>
      </c>
      <c r="BH11" s="31">
        <v>1.0</v>
      </c>
      <c r="BI11" s="24">
        <f t="shared" si="12"/>
        <v>318</v>
      </c>
      <c r="BJ11" s="30">
        <v>0.0</v>
      </c>
      <c r="BK11" s="30">
        <v>31.0</v>
      </c>
      <c r="BL11" s="30">
        <v>58.0</v>
      </c>
      <c r="BM11" s="30">
        <v>5.0</v>
      </c>
      <c r="BN11" s="30">
        <v>82.0</v>
      </c>
      <c r="BO11" s="30">
        <v>0.0</v>
      </c>
      <c r="BP11" s="31">
        <v>142.0</v>
      </c>
      <c r="BQ11" s="24">
        <f t="shared" si="13"/>
        <v>318</v>
      </c>
      <c r="BR11" s="32">
        <v>21.0</v>
      </c>
      <c r="BS11" s="30">
        <v>1.0</v>
      </c>
      <c r="BT11" s="31">
        <v>608.0</v>
      </c>
      <c r="BU11" s="24">
        <f t="shared" si="14"/>
        <v>630</v>
      </c>
    </row>
    <row r="12" ht="21.0" customHeight="1">
      <c r="A12" s="24" t="s">
        <v>79</v>
      </c>
      <c r="B12" s="33">
        <v>295.0</v>
      </c>
      <c r="C12" s="30">
        <v>9.0</v>
      </c>
      <c r="D12" s="31">
        <v>4.0</v>
      </c>
      <c r="E12" s="28">
        <f t="shared" si="1"/>
        <v>308</v>
      </c>
      <c r="F12" s="30">
        <v>41.0</v>
      </c>
      <c r="G12" s="30">
        <v>55.0</v>
      </c>
      <c r="H12" s="30">
        <v>35.0</v>
      </c>
      <c r="I12" s="30">
        <v>47.0</v>
      </c>
      <c r="J12" s="30">
        <v>41.0</v>
      </c>
      <c r="K12" s="30">
        <v>47.0</v>
      </c>
      <c r="L12" s="31">
        <v>42.0</v>
      </c>
      <c r="M12" s="24">
        <f t="shared" si="16"/>
        <v>308</v>
      </c>
      <c r="N12" s="30">
        <v>72.0</v>
      </c>
      <c r="O12" s="31">
        <v>236.0</v>
      </c>
      <c r="P12" s="24">
        <f t="shared" si="3"/>
        <v>308</v>
      </c>
      <c r="Q12" s="30">
        <v>298.0</v>
      </c>
      <c r="R12" s="31">
        <v>10.0</v>
      </c>
      <c r="S12" s="24">
        <f t="shared" si="4"/>
        <v>308</v>
      </c>
      <c r="T12" s="30">
        <v>254.0</v>
      </c>
      <c r="U12" s="30">
        <v>178.0</v>
      </c>
      <c r="V12" s="30">
        <v>0.0</v>
      </c>
      <c r="W12" s="30">
        <v>0.0</v>
      </c>
      <c r="X12" s="30">
        <v>175.0</v>
      </c>
      <c r="Y12" s="30">
        <v>0.0</v>
      </c>
      <c r="Z12" s="31">
        <v>0.0</v>
      </c>
      <c r="AA12" s="24">
        <f t="shared" si="5"/>
        <v>607</v>
      </c>
      <c r="AB12" s="30">
        <v>55.0</v>
      </c>
      <c r="AC12" s="30">
        <v>414.0</v>
      </c>
      <c r="AD12" s="30">
        <v>92.0</v>
      </c>
      <c r="AE12" s="30">
        <v>38.0</v>
      </c>
      <c r="AF12" s="30">
        <v>8.0</v>
      </c>
      <c r="AG12" s="24">
        <f t="shared" si="6"/>
        <v>607</v>
      </c>
      <c r="AH12" s="30">
        <v>473.0</v>
      </c>
      <c r="AI12" s="30">
        <v>134.0</v>
      </c>
      <c r="AJ12" s="24">
        <f t="shared" si="7"/>
        <v>607</v>
      </c>
      <c r="AK12" s="30">
        <v>466.0</v>
      </c>
      <c r="AL12" s="30">
        <v>141.0</v>
      </c>
      <c r="AM12" s="24">
        <f t="shared" si="8"/>
        <v>607</v>
      </c>
      <c r="AN12" s="30">
        <v>603.0</v>
      </c>
      <c r="AO12" s="31">
        <v>4.0</v>
      </c>
      <c r="AP12" s="24">
        <f t="shared" si="9"/>
        <v>607</v>
      </c>
      <c r="AQ12" s="30">
        <v>590.0</v>
      </c>
      <c r="AR12" s="30">
        <v>8.0</v>
      </c>
      <c r="AS12" s="30">
        <v>0.0</v>
      </c>
      <c r="AT12" s="30">
        <v>0.0</v>
      </c>
      <c r="AU12" s="31">
        <v>9.0</v>
      </c>
      <c r="AV12" s="24">
        <f t="shared" si="15"/>
        <v>607</v>
      </c>
      <c r="AW12" s="29">
        <f t="shared" si="10"/>
        <v>9</v>
      </c>
      <c r="AX12" s="30">
        <v>566.0</v>
      </c>
      <c r="AY12" s="31">
        <v>32.0</v>
      </c>
      <c r="AZ12" s="24">
        <f t="shared" si="11"/>
        <v>607</v>
      </c>
      <c r="BA12" s="30">
        <v>297.0</v>
      </c>
      <c r="BB12" s="30">
        <v>3.0</v>
      </c>
      <c r="BC12" s="30">
        <v>5.0</v>
      </c>
      <c r="BD12" s="30">
        <v>0.0</v>
      </c>
      <c r="BE12" s="30">
        <v>0.0</v>
      </c>
      <c r="BF12" s="30">
        <v>3.0</v>
      </c>
      <c r="BG12" s="30">
        <v>0.0</v>
      </c>
      <c r="BH12" s="31">
        <v>0.0</v>
      </c>
      <c r="BI12" s="24">
        <f t="shared" si="12"/>
        <v>308</v>
      </c>
      <c r="BJ12" s="30">
        <v>0.0</v>
      </c>
      <c r="BK12" s="30">
        <v>31.0</v>
      </c>
      <c r="BL12" s="30">
        <v>56.0</v>
      </c>
      <c r="BM12" s="30">
        <v>0.0</v>
      </c>
      <c r="BN12" s="30">
        <v>88.0</v>
      </c>
      <c r="BO12" s="30">
        <v>0.0</v>
      </c>
      <c r="BP12" s="31">
        <v>133.0</v>
      </c>
      <c r="BQ12" s="24">
        <f t="shared" si="13"/>
        <v>308</v>
      </c>
      <c r="BR12" s="32">
        <v>13.0</v>
      </c>
      <c r="BS12" s="30">
        <v>5.0</v>
      </c>
      <c r="BT12" s="31">
        <v>597.0</v>
      </c>
      <c r="BU12" s="24">
        <f t="shared" si="14"/>
        <v>615</v>
      </c>
    </row>
    <row r="13" ht="21.0" customHeight="1">
      <c r="A13" s="24" t="s">
        <v>80</v>
      </c>
      <c r="B13" s="35">
        <v>292.0</v>
      </c>
      <c r="C13" s="36">
        <v>18.0</v>
      </c>
      <c r="D13" s="37">
        <v>8.0</v>
      </c>
      <c r="E13" s="28">
        <f t="shared" si="1"/>
        <v>318</v>
      </c>
      <c r="F13" s="36">
        <v>56.0</v>
      </c>
      <c r="G13" s="36">
        <v>43.0</v>
      </c>
      <c r="H13" s="36">
        <v>42.0</v>
      </c>
      <c r="I13" s="36">
        <v>36.0</v>
      </c>
      <c r="J13" s="36">
        <v>41.0</v>
      </c>
      <c r="K13" s="36">
        <v>44.0</v>
      </c>
      <c r="L13" s="37">
        <v>56.0</v>
      </c>
      <c r="M13" s="24">
        <f t="shared" si="16"/>
        <v>318</v>
      </c>
      <c r="N13" s="36">
        <v>70.0</v>
      </c>
      <c r="O13" s="37">
        <v>248.0</v>
      </c>
      <c r="P13" s="24">
        <f t="shared" si="3"/>
        <v>318</v>
      </c>
      <c r="Q13" s="30">
        <v>308.0</v>
      </c>
      <c r="R13" s="31">
        <v>10.0</v>
      </c>
      <c r="S13" s="24">
        <f t="shared" si="4"/>
        <v>318</v>
      </c>
      <c r="T13" s="30">
        <v>281.0</v>
      </c>
      <c r="U13" s="30">
        <v>178.0</v>
      </c>
      <c r="V13" s="30">
        <v>0.0</v>
      </c>
      <c r="W13" s="30">
        <v>0.0</v>
      </c>
      <c r="X13" s="30">
        <v>164.0</v>
      </c>
      <c r="Y13" s="30">
        <v>0.0</v>
      </c>
      <c r="Z13" s="31">
        <v>0.0</v>
      </c>
      <c r="AA13" s="24">
        <f t="shared" si="5"/>
        <v>623</v>
      </c>
      <c r="AB13" s="30">
        <v>57.0</v>
      </c>
      <c r="AC13" s="30">
        <v>419.0</v>
      </c>
      <c r="AD13" s="30">
        <v>97.0</v>
      </c>
      <c r="AE13" s="30">
        <v>48.0</v>
      </c>
      <c r="AF13" s="30">
        <v>2.0</v>
      </c>
      <c r="AG13" s="24">
        <f t="shared" si="6"/>
        <v>623</v>
      </c>
      <c r="AH13" s="30">
        <v>506.0</v>
      </c>
      <c r="AI13" s="30">
        <v>117.0</v>
      </c>
      <c r="AJ13" s="24">
        <f t="shared" si="7"/>
        <v>623</v>
      </c>
      <c r="AK13" s="30">
        <v>479.0</v>
      </c>
      <c r="AL13" s="30">
        <v>144.0</v>
      </c>
      <c r="AM13" s="24">
        <f t="shared" si="8"/>
        <v>623</v>
      </c>
      <c r="AN13" s="30">
        <v>619.0</v>
      </c>
      <c r="AO13" s="31">
        <v>4.0</v>
      </c>
      <c r="AP13" s="24">
        <f t="shared" si="9"/>
        <v>623</v>
      </c>
      <c r="AQ13" s="30">
        <v>590.0</v>
      </c>
      <c r="AR13" s="30">
        <v>17.0</v>
      </c>
      <c r="AS13" s="30">
        <v>0.0</v>
      </c>
      <c r="AT13" s="30">
        <v>0.0</v>
      </c>
      <c r="AU13" s="31">
        <v>16.0</v>
      </c>
      <c r="AV13" s="24">
        <f t="shared" si="15"/>
        <v>623</v>
      </c>
      <c r="AW13" s="29">
        <f t="shared" si="10"/>
        <v>16</v>
      </c>
      <c r="AX13" s="30">
        <v>571.0</v>
      </c>
      <c r="AY13" s="31">
        <v>36.0</v>
      </c>
      <c r="AZ13" s="24">
        <f t="shared" si="11"/>
        <v>623</v>
      </c>
      <c r="BA13" s="30">
        <v>300.0</v>
      </c>
      <c r="BB13" s="30">
        <v>10.0</v>
      </c>
      <c r="BC13" s="30">
        <v>3.0</v>
      </c>
      <c r="BD13" s="30">
        <v>0.0</v>
      </c>
      <c r="BE13" s="30">
        <v>0.0</v>
      </c>
      <c r="BF13" s="30">
        <v>5.0</v>
      </c>
      <c r="BG13" s="30">
        <v>0.0</v>
      </c>
      <c r="BH13" s="31">
        <v>0.0</v>
      </c>
      <c r="BI13" s="24">
        <f t="shared" si="12"/>
        <v>318</v>
      </c>
      <c r="BJ13" s="36">
        <v>0.0</v>
      </c>
      <c r="BK13" s="36">
        <v>29.0</v>
      </c>
      <c r="BL13" s="36">
        <v>62.0</v>
      </c>
      <c r="BM13" s="36">
        <v>0.0</v>
      </c>
      <c r="BN13" s="36">
        <v>85.0</v>
      </c>
      <c r="BO13" s="36">
        <v>0.0</v>
      </c>
      <c r="BP13" s="37">
        <v>142.0</v>
      </c>
      <c r="BQ13" s="38">
        <f t="shared" si="13"/>
        <v>318</v>
      </c>
      <c r="BR13" s="39">
        <v>31.0</v>
      </c>
      <c r="BS13" s="36">
        <v>10.0</v>
      </c>
      <c r="BT13" s="37">
        <v>602.0</v>
      </c>
      <c r="BU13" s="38">
        <f t="shared" si="14"/>
        <v>643</v>
      </c>
    </row>
    <row r="14" ht="21.0" customHeight="1">
      <c r="A14" s="24" t="s">
        <v>47</v>
      </c>
      <c r="B14" s="40">
        <f t="shared" ref="B14:BP14" si="17">SUM(B2:B13)</f>
        <v>3526</v>
      </c>
      <c r="C14" s="41">
        <f t="shared" si="17"/>
        <v>215</v>
      </c>
      <c r="D14" s="41">
        <f t="shared" si="17"/>
        <v>54</v>
      </c>
      <c r="E14" s="42">
        <f t="shared" si="17"/>
        <v>3795</v>
      </c>
      <c r="F14" s="41">
        <f t="shared" si="17"/>
        <v>530</v>
      </c>
      <c r="G14" s="41">
        <f t="shared" si="17"/>
        <v>540</v>
      </c>
      <c r="H14" s="41">
        <f t="shared" si="17"/>
        <v>507</v>
      </c>
      <c r="I14" s="41">
        <f t="shared" si="17"/>
        <v>550</v>
      </c>
      <c r="J14" s="41">
        <f t="shared" si="17"/>
        <v>549</v>
      </c>
      <c r="K14" s="41">
        <f t="shared" si="17"/>
        <v>555</v>
      </c>
      <c r="L14" s="41">
        <f t="shared" si="17"/>
        <v>564</v>
      </c>
      <c r="M14" s="24">
        <f t="shared" si="17"/>
        <v>3795</v>
      </c>
      <c r="N14" s="41">
        <f t="shared" si="17"/>
        <v>884</v>
      </c>
      <c r="O14" s="41">
        <f t="shared" si="17"/>
        <v>2911</v>
      </c>
      <c r="P14" s="24">
        <f t="shared" si="17"/>
        <v>3795</v>
      </c>
      <c r="Q14" s="41">
        <f t="shared" si="17"/>
        <v>3645</v>
      </c>
      <c r="R14" s="43">
        <f t="shared" si="17"/>
        <v>150</v>
      </c>
      <c r="S14" s="24">
        <f t="shared" si="17"/>
        <v>3795</v>
      </c>
      <c r="T14" s="41">
        <f t="shared" si="17"/>
        <v>3358</v>
      </c>
      <c r="U14" s="41">
        <f t="shared" si="17"/>
        <v>2099</v>
      </c>
      <c r="V14" s="41">
        <f t="shared" si="17"/>
        <v>5</v>
      </c>
      <c r="W14" s="41">
        <f t="shared" si="17"/>
        <v>8</v>
      </c>
      <c r="X14" s="41">
        <f t="shared" si="17"/>
        <v>1953</v>
      </c>
      <c r="Y14" s="41">
        <f t="shared" si="17"/>
        <v>5</v>
      </c>
      <c r="Z14" s="41">
        <f t="shared" si="17"/>
        <v>10</v>
      </c>
      <c r="AA14" s="24">
        <f t="shared" si="17"/>
        <v>7438</v>
      </c>
      <c r="AB14" s="24">
        <f t="shared" si="17"/>
        <v>714</v>
      </c>
      <c r="AC14" s="41">
        <f t="shared" si="17"/>
        <v>4883</v>
      </c>
      <c r="AD14" s="41">
        <f t="shared" si="17"/>
        <v>1222</v>
      </c>
      <c r="AE14" s="41">
        <f t="shared" si="17"/>
        <v>527</v>
      </c>
      <c r="AF14" s="41">
        <f t="shared" si="17"/>
        <v>90</v>
      </c>
      <c r="AG14" s="24">
        <f t="shared" si="17"/>
        <v>7436</v>
      </c>
      <c r="AH14" s="41">
        <f t="shared" si="17"/>
        <v>6028</v>
      </c>
      <c r="AI14" s="41">
        <f t="shared" si="17"/>
        <v>1408</v>
      </c>
      <c r="AJ14" s="24">
        <f t="shared" si="17"/>
        <v>7436</v>
      </c>
      <c r="AK14" s="41">
        <f t="shared" si="17"/>
        <v>5657</v>
      </c>
      <c r="AL14" s="41">
        <f t="shared" si="17"/>
        <v>1779</v>
      </c>
      <c r="AM14" s="24">
        <f t="shared" si="17"/>
        <v>7436</v>
      </c>
      <c r="AN14" s="41">
        <f t="shared" si="17"/>
        <v>7376</v>
      </c>
      <c r="AO14" s="43">
        <f t="shared" si="17"/>
        <v>60</v>
      </c>
      <c r="AP14" s="24">
        <f t="shared" si="17"/>
        <v>7436</v>
      </c>
      <c r="AQ14" s="41">
        <f t="shared" si="17"/>
        <v>7089</v>
      </c>
      <c r="AR14" s="41">
        <f t="shared" si="17"/>
        <v>177</v>
      </c>
      <c r="AS14" s="41">
        <f t="shared" si="17"/>
        <v>2</v>
      </c>
      <c r="AT14" s="41">
        <f t="shared" si="17"/>
        <v>1</v>
      </c>
      <c r="AU14" s="43">
        <f t="shared" si="17"/>
        <v>167</v>
      </c>
      <c r="AV14" s="24">
        <f t="shared" si="17"/>
        <v>7436</v>
      </c>
      <c r="AW14" s="40">
        <f t="shared" si="17"/>
        <v>167</v>
      </c>
      <c r="AX14" s="41">
        <f t="shared" si="17"/>
        <v>6849</v>
      </c>
      <c r="AY14" s="43">
        <f t="shared" si="17"/>
        <v>420</v>
      </c>
      <c r="AZ14" s="24">
        <f t="shared" si="17"/>
        <v>7436</v>
      </c>
      <c r="BA14" s="44">
        <f t="shared" si="17"/>
        <v>3608</v>
      </c>
      <c r="BB14" s="44">
        <f t="shared" si="17"/>
        <v>66</v>
      </c>
      <c r="BC14" s="44">
        <f t="shared" si="17"/>
        <v>48</v>
      </c>
      <c r="BD14" s="44">
        <f t="shared" si="17"/>
        <v>8</v>
      </c>
      <c r="BE14" s="44">
        <f t="shared" si="17"/>
        <v>0</v>
      </c>
      <c r="BF14" s="44">
        <f t="shared" si="17"/>
        <v>58</v>
      </c>
      <c r="BG14" s="44">
        <f t="shared" si="17"/>
        <v>1</v>
      </c>
      <c r="BH14" s="44">
        <f t="shared" si="17"/>
        <v>6</v>
      </c>
      <c r="BI14" s="24">
        <f t="shared" si="17"/>
        <v>3795</v>
      </c>
      <c r="BJ14" s="24">
        <f t="shared" si="17"/>
        <v>9</v>
      </c>
      <c r="BK14" s="24">
        <f t="shared" si="17"/>
        <v>363</v>
      </c>
      <c r="BL14" s="24">
        <f t="shared" si="17"/>
        <v>737</v>
      </c>
      <c r="BM14" s="24">
        <f t="shared" si="17"/>
        <v>7</v>
      </c>
      <c r="BN14" s="24">
        <f t="shared" si="17"/>
        <v>1050</v>
      </c>
      <c r="BO14" s="24">
        <f t="shared" si="17"/>
        <v>0</v>
      </c>
      <c r="BP14" s="24">
        <f t="shared" si="17"/>
        <v>1629</v>
      </c>
      <c r="BQ14" s="24">
        <f t="shared" si="13"/>
        <v>3795</v>
      </c>
      <c r="BR14" s="42">
        <f t="shared" ref="BR14:BU14" si="18">SUM(BR2:BR13)</f>
        <v>346</v>
      </c>
      <c r="BS14" s="24">
        <f t="shared" si="18"/>
        <v>69</v>
      </c>
      <c r="BT14" s="24">
        <f t="shared" si="18"/>
        <v>7268</v>
      </c>
      <c r="BU14" s="24">
        <f t="shared" si="18"/>
        <v>7683</v>
      </c>
    </row>
    <row r="15" ht="12.75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3" width="8.0"/>
  </cols>
  <sheetData>
    <row r="1" ht="24.0" customHeight="1">
      <c r="A1" s="84" t="s">
        <v>82</v>
      </c>
      <c r="B1" s="85" t="s">
        <v>83</v>
      </c>
      <c r="C1" s="86"/>
      <c r="D1" s="87"/>
      <c r="E1" s="88"/>
      <c r="F1" s="85" t="s">
        <v>84</v>
      </c>
      <c r="G1" s="86"/>
      <c r="H1" s="86"/>
      <c r="I1" s="86"/>
      <c r="J1" s="86"/>
      <c r="K1" s="86"/>
      <c r="L1" s="86"/>
      <c r="M1" s="87"/>
      <c r="N1" s="85" t="s">
        <v>85</v>
      </c>
      <c r="O1" s="86"/>
      <c r="P1" s="87"/>
      <c r="Q1" s="85" t="s">
        <v>86</v>
      </c>
      <c r="R1" s="86"/>
      <c r="S1" s="87"/>
      <c r="T1" s="85" t="s">
        <v>87</v>
      </c>
      <c r="U1" s="86"/>
      <c r="V1" s="86"/>
      <c r="W1" s="86"/>
      <c r="X1" s="86"/>
      <c r="Y1" s="86"/>
      <c r="Z1" s="86"/>
      <c r="AA1" s="87"/>
      <c r="AB1" s="85" t="s">
        <v>88</v>
      </c>
      <c r="AC1" s="86"/>
      <c r="AD1" s="86"/>
      <c r="AE1" s="86"/>
      <c r="AF1" s="86"/>
      <c r="AG1" s="87"/>
      <c r="AH1" s="85" t="s">
        <v>89</v>
      </c>
      <c r="AI1" s="86"/>
      <c r="AJ1" s="87"/>
      <c r="AK1" s="85" t="s">
        <v>90</v>
      </c>
      <c r="AL1" s="86"/>
      <c r="AM1" s="87"/>
      <c r="AN1" s="85" t="s">
        <v>91</v>
      </c>
      <c r="AO1" s="86"/>
      <c r="AP1" s="87"/>
      <c r="AQ1" s="85" t="s">
        <v>92</v>
      </c>
      <c r="AR1" s="86"/>
      <c r="AS1" s="86"/>
      <c r="AT1" s="87"/>
      <c r="AU1" s="89" t="s">
        <v>46</v>
      </c>
      <c r="AV1" s="89" t="s">
        <v>47</v>
      </c>
      <c r="AW1" s="89" t="s">
        <v>46</v>
      </c>
      <c r="AX1" s="85" t="s">
        <v>93</v>
      </c>
      <c r="AY1" s="87"/>
      <c r="AZ1" s="89" t="s">
        <v>47</v>
      </c>
      <c r="BA1" s="85" t="s">
        <v>94</v>
      </c>
      <c r="BB1" s="87"/>
      <c r="BC1" s="85" t="s">
        <v>95</v>
      </c>
      <c r="BD1" s="87"/>
      <c r="BE1" s="89" t="s">
        <v>54</v>
      </c>
      <c r="BF1" s="89" t="s">
        <v>55</v>
      </c>
      <c r="BG1" s="89" t="s">
        <v>56</v>
      </c>
      <c r="BH1" s="89" t="s">
        <v>26</v>
      </c>
      <c r="BI1" s="89" t="s">
        <v>47</v>
      </c>
      <c r="BJ1" s="90" t="s">
        <v>96</v>
      </c>
      <c r="BK1" s="86"/>
      <c r="BL1" s="86"/>
      <c r="BM1" s="86"/>
      <c r="BN1" s="86"/>
      <c r="BO1" s="86"/>
      <c r="BP1" s="86"/>
      <c r="BQ1" s="87"/>
      <c r="BR1" s="91" t="s">
        <v>97</v>
      </c>
      <c r="BS1" s="86"/>
      <c r="BT1" s="86"/>
      <c r="BU1" s="87"/>
    </row>
    <row r="2" ht="124.5" customHeight="1">
      <c r="A2" s="2" t="s">
        <v>1</v>
      </c>
      <c r="B2" s="3" t="s">
        <v>2</v>
      </c>
      <c r="C2" s="3" t="s">
        <v>3</v>
      </c>
      <c r="D2" s="4" t="s">
        <v>4</v>
      </c>
      <c r="E2" s="5" t="s">
        <v>5</v>
      </c>
      <c r="F2" s="2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6" t="s">
        <v>13</v>
      </c>
      <c r="N2" s="2" t="s">
        <v>14</v>
      </c>
      <c r="O2" s="3" t="s">
        <v>15</v>
      </c>
      <c r="P2" s="6" t="s">
        <v>16</v>
      </c>
      <c r="Q2" s="2" t="s">
        <v>17</v>
      </c>
      <c r="R2" s="3" t="s">
        <v>18</v>
      </c>
      <c r="S2" s="6" t="s">
        <v>19</v>
      </c>
      <c r="T2" s="2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6" t="s">
        <v>27</v>
      </c>
      <c r="AB2" s="2">
        <v>-18.0</v>
      </c>
      <c r="AC2" s="3" t="s">
        <v>28</v>
      </c>
      <c r="AD2" s="3" t="s">
        <v>29</v>
      </c>
      <c r="AE2" s="3" t="s">
        <v>30</v>
      </c>
      <c r="AF2" s="3" t="s">
        <v>31</v>
      </c>
      <c r="AG2" s="6" t="s">
        <v>32</v>
      </c>
      <c r="AH2" s="2" t="s">
        <v>33</v>
      </c>
      <c r="AI2" s="3" t="s">
        <v>34</v>
      </c>
      <c r="AJ2" s="6" t="s">
        <v>35</v>
      </c>
      <c r="AK2" s="2" t="s">
        <v>36</v>
      </c>
      <c r="AL2" s="3" t="s">
        <v>37</v>
      </c>
      <c r="AM2" s="6" t="s">
        <v>38</v>
      </c>
      <c r="AN2" s="2" t="s">
        <v>39</v>
      </c>
      <c r="AO2" s="3" t="s">
        <v>40</v>
      </c>
      <c r="AP2" s="6" t="s">
        <v>41</v>
      </c>
      <c r="AQ2" s="2" t="s">
        <v>42</v>
      </c>
      <c r="AR2" s="3" t="s">
        <v>43</v>
      </c>
      <c r="AS2" s="3" t="s">
        <v>44</v>
      </c>
      <c r="AT2" s="3" t="s">
        <v>45</v>
      </c>
      <c r="AU2" s="7" t="s">
        <v>46</v>
      </c>
      <c r="AV2" s="8" t="s">
        <v>47</v>
      </c>
      <c r="AW2" s="9" t="s">
        <v>46</v>
      </c>
      <c r="AX2" s="3" t="s">
        <v>48</v>
      </c>
      <c r="AY2" s="3" t="s">
        <v>49</v>
      </c>
      <c r="AZ2" s="10" t="s">
        <v>47</v>
      </c>
      <c r="BA2" s="11" t="s">
        <v>50</v>
      </c>
      <c r="BB2" s="12" t="s">
        <v>51</v>
      </c>
      <c r="BC2" s="12" t="s">
        <v>52</v>
      </c>
      <c r="BD2" s="12" t="s">
        <v>53</v>
      </c>
      <c r="BE2" s="13" t="s">
        <v>54</v>
      </c>
      <c r="BF2" s="14" t="s">
        <v>55</v>
      </c>
      <c r="BG2" s="14" t="s">
        <v>56</v>
      </c>
      <c r="BH2" s="15" t="s">
        <v>57</v>
      </c>
      <c r="BI2" s="16" t="s">
        <v>47</v>
      </c>
      <c r="BJ2" s="16" t="s">
        <v>58</v>
      </c>
      <c r="BK2" s="17" t="s">
        <v>59</v>
      </c>
      <c r="BL2" s="18" t="s">
        <v>60</v>
      </c>
      <c r="BM2" s="18" t="s">
        <v>61</v>
      </c>
      <c r="BN2" s="18" t="s">
        <v>62</v>
      </c>
      <c r="BO2" s="18" t="s">
        <v>63</v>
      </c>
      <c r="BP2" s="18" t="s">
        <v>26</v>
      </c>
      <c r="BQ2" s="19" t="s">
        <v>64</v>
      </c>
      <c r="BR2" s="20" t="s">
        <v>65</v>
      </c>
      <c r="BS2" s="21" t="s">
        <v>66</v>
      </c>
      <c r="BT2" s="18" t="s">
        <v>67</v>
      </c>
      <c r="BU2" s="22" t="s">
        <v>68</v>
      </c>
    </row>
    <row r="3" ht="24.0" customHeight="1">
      <c r="A3" s="44" t="s">
        <v>69</v>
      </c>
      <c r="B3" s="92">
        <f>'الرياض'!B2+'المدينه المنوره'!B2+'الشرقيه'!B2+'الحدود الشماليه'!B2+'تبوك'!B2+'الجوف'!B2+'حائل'!B2+'نجران'!B2+'القصيم'!B2+'الباحه'!B2+'عسير'!B2+'جازان'!B2+'جده'!B2+'الطائف'!B2+'العاصمه'!C2+'القريات'!B2</f>
        <v>44688</v>
      </c>
      <c r="C3" s="92">
        <f>'الرياض'!C2+'المدينه المنوره'!C2+'الشرقيه'!C2+'الحدود الشماليه'!C2+'تبوك'!C2+'الجوف'!C2+'حائل'!C2+'نجران'!C2+'القصيم'!C2+'الباحه'!C2+'عسير'!C2+'جازان'!C2+'جده'!C2+'الطائف'!C2+'العاصمه'!D2+'القريات'!C2</f>
        <v>1883</v>
      </c>
      <c r="D3" s="92">
        <f>'الرياض'!D2+'المدينه المنوره'!D2+'الشرقيه'!D2+'الحدود الشماليه'!D2+'تبوك'!D2+'الجوف'!D2+'حائل'!D2+'نجران'!D2+'القصيم'!D2+'الباحه'!D2+'عسير'!D2+'جازان'!D2+'جده'!D2+'الطائف'!D2+'العاصمه'!E2+'القريات'!D2</f>
        <v>560</v>
      </c>
      <c r="E3" s="93">
        <f t="shared" ref="E3:E14" si="1">SUM(B3:D3)</f>
        <v>47131</v>
      </c>
      <c r="F3" s="94">
        <f>'الرياض'!F2+'المدينه المنوره'!F2+'الشرقيه'!F2+'الحدود الشماليه'!F2+'تبوك'!F2+'الجوف'!F2+'حائل'!F2+'نجران'!F2+'القصيم'!F2+'الباحه'!F2+'عسير'!F2+'جازان'!F2+'جده'!F2+'الطائف'!F2+'العاصمه'!G2+'القريات'!F2</f>
        <v>6890</v>
      </c>
      <c r="G3" s="94">
        <f>'الرياض'!G2+'المدينه المنوره'!G2+'الشرقيه'!G2+'الحدود الشماليه'!G2+'تبوك'!G2+'الجوف'!G2+'حائل'!G2+'نجران'!G2+'القصيم'!G2+'الباحه'!G2+'عسير'!G2+'جازان'!G2+'جده'!G2+'الطائف'!G2+'العاصمه'!H2+'القريات'!G2</f>
        <v>6930</v>
      </c>
      <c r="H3" s="94">
        <f>'الرياض'!H2+'المدينه المنوره'!H2+'الشرقيه'!H2+'الحدود الشماليه'!H2+'تبوك'!H2+'الجوف'!H2+'حائل'!H2+'نجران'!H2+'القصيم'!H2+'الباحه'!H2+'عسير'!H2+'جازان'!H2+'جده'!H2+'الطائف'!H2+'العاصمه'!I2+'القريات'!H2</f>
        <v>6745</v>
      </c>
      <c r="I3" s="94">
        <f>'الرياض'!I2+'المدينه المنوره'!I2+'الشرقيه'!I2+'الحدود الشماليه'!I2+'تبوك'!I2+'الجوف'!I2+'حائل'!I2+'نجران'!I2+'القصيم'!I2+'الباحه'!I2+'عسير'!I2+'جازان'!I2+'جده'!I2+'الطائف'!I2+'العاصمه'!J2+'القريات'!I2</f>
        <v>6082</v>
      </c>
      <c r="J3" s="94">
        <f>'الرياض'!J2+'المدينه المنوره'!J2+'الشرقيه'!J2+'الحدود الشماليه'!J2+'تبوك'!J2+'الجوف'!J2+'حائل'!J2+'نجران'!J2+'القصيم'!J2+'الباحه'!J2+'عسير'!J2+'جازان'!J2+'جده'!J2+'الطائف'!J2+'العاصمه'!K2+'القريات'!J2</f>
        <v>7316</v>
      </c>
      <c r="K3" s="94">
        <f>'الرياض'!K2+'المدينه المنوره'!K2+'الشرقيه'!K2+'الحدود الشماليه'!K2+'تبوك'!K2+'الجوف'!K2+'حائل'!K2+'نجران'!K2+'القصيم'!K2+'الباحه'!K2+'عسير'!K2+'جازان'!K2+'جده'!K2+'الطائف'!K2+'العاصمه'!L2+'القريات'!K2</f>
        <v>7453</v>
      </c>
      <c r="L3" s="94">
        <f>'الرياض'!L2+'المدينه المنوره'!L2+'الشرقيه'!L2+'الحدود الشماليه'!L2+'تبوك'!L2+'الجوف'!L2+'حائل'!L2+'نجران'!L2+'القصيم'!L2+'الباحه'!L2+'عسير'!L2+'جازان'!L2+'جده'!L2+'الطائف'!L2+'العاصمه'!M2+'القريات'!L2</f>
        <v>5715</v>
      </c>
      <c r="M3" s="44">
        <f>F3+G3+H3+I3+J3+K3+L3</f>
        <v>47131</v>
      </c>
      <c r="N3" s="94">
        <f>'الرياض'!N2+'المدينه المنوره'!N2+'الشرقيه'!N2+'الحدود الشماليه'!N2+'تبوك'!N2+'الجوف'!N2+'حائل'!N2+'نجران'!N2+'القصيم'!N2+'الباحه'!N2+'عسير'!N2+'جازان'!N2+'جده'!N2+'الطائف'!N2+'العاصمه'!O2+'القريات'!N2</f>
        <v>30200</v>
      </c>
      <c r="O3" s="94">
        <f>'الرياض'!O2+'المدينه المنوره'!O2+'الشرقيه'!O2+'الحدود الشماليه'!O2+'تبوك'!O2+'الجوف'!O2+'حائل'!O2+'نجران'!O2+'القصيم'!O2+'الباحه'!O2+'عسير'!O2+'جازان'!O2+'جده'!O2+'الطائف'!O2+'العاصمه'!P2+'القريات'!O2</f>
        <v>16931</v>
      </c>
      <c r="P3" s="44">
        <f t="shared" ref="P3:P14" si="2">SUM(N3:O3)</f>
        <v>47131</v>
      </c>
      <c r="Q3" s="94">
        <f>'الرياض'!Q2+'المدينه المنوره'!Q2+'الشرقيه'!Q2+'الحدود الشماليه'!Q2+'تبوك'!Q2+'الجوف'!Q2+'حائل'!Q2+'نجران'!Q2+'القصيم'!Q2+'الباحه'!Q2+'عسير'!Q2+'جازان'!Q2+'جده'!Q2+'الطائف'!Q2+'العاصمه'!R2+'القريات'!Q2</f>
        <v>36974</v>
      </c>
      <c r="R3" s="94">
        <f>'الرياض'!R2+'المدينه المنوره'!R2+'الشرقيه'!R2+'الحدود الشماليه'!R2+'تبوك'!R2+'الجوف'!R2+'حائل'!R2+'نجران'!R2+'القصيم'!R2+'الباحه'!R2+'عسير'!R2+'جازان'!R2+'جده'!R2+'الطائف'!R2+'العاصمه'!S2+'القريات'!R2</f>
        <v>10157</v>
      </c>
      <c r="S3" s="44">
        <f t="shared" ref="S3:S15" si="3">SUM(Q3:R3)</f>
        <v>47131</v>
      </c>
      <c r="T3" s="94">
        <f>'الرياض'!T2+'المدينه المنوره'!T2+'الشرقيه'!T2+'الحدود الشماليه'!T2+'تبوك'!T2+'الجوف'!T2+'حائل'!T2+'نجران'!T2+'القصيم'!T2+'الباحه'!T2+'عسير'!T2+'جازان'!T2+'جده'!T2+'الطائف'!T2+'العاصمه'!U2+'القريات'!T2</f>
        <v>40669</v>
      </c>
      <c r="U3" s="94">
        <f>'الرياض'!U2+'المدينه المنوره'!U2+'الشرقيه'!U2+'الحدود الشماليه'!U2+'تبوك'!U2+'الجوف'!U2+'حائل'!U2+'نجران'!U2+'القصيم'!U2+'الباحه'!U2+'عسير'!U2+'جازان'!U2+'جده'!U2+'الطائف'!U2+'العاصمه'!V2+'القريات'!U2</f>
        <v>12098</v>
      </c>
      <c r="V3" s="94">
        <f>'الرياض'!V2+'المدينه المنوره'!V2+'الشرقيه'!V2+'الحدود الشماليه'!V2+'تبوك'!V2+'الجوف'!V2+'حائل'!V2+'نجران'!V2+'القصيم'!V2+'الباحه'!V2+'عسير'!V2+'جازان'!V2+'جده'!V2+'الطائف'!V2+'العاصمه'!W2+'القريات'!V2</f>
        <v>1189</v>
      </c>
      <c r="W3" s="94">
        <f>'الرياض'!W2+'المدينه المنوره'!W2+'الشرقيه'!W2+'الحدود الشماليه'!W2+'تبوك'!W2+'الجوف'!W2+'حائل'!W2+'نجران'!W2+'القصيم'!W2+'الباحه'!W2+'عسير'!W2+'جازان'!W2+'جده'!W2+'الطائف'!W2+'العاصمه'!X2+'القريات'!W2</f>
        <v>10630</v>
      </c>
      <c r="X3" s="94">
        <f>'الرياض'!X2+'المدينه المنوره'!X2+'الشرقيه'!X2+'الحدود الشماليه'!X2+'تبوك'!X2+'الجوف'!X2+'حائل'!X2+'نجران'!X2+'القصيم'!X2+'الباحه'!X2+'عسير'!X2+'جازان'!X2+'جده'!X2+'الطائف'!X2+'العاصمه'!Y2+'القريات'!X2</f>
        <v>8589</v>
      </c>
      <c r="Y3" s="94">
        <f>'الرياض'!Y2+'المدينه المنوره'!Y2+'الشرقيه'!Y2+'الحدود الشماليه'!Y2+'تبوك'!Y2+'الجوف'!Y2+'حائل'!Y2+'نجران'!Y2+'القصيم'!Y2+'الباحه'!Y2+'عسير'!Y2+'جازان'!Y2+'جده'!Y2+'الطائف'!Y2+'العاصمه'!Z2+'القريات'!Y2</f>
        <v>1314</v>
      </c>
      <c r="Z3" s="94">
        <f>'الرياض'!Z2+'المدينه المنوره'!Z2+'الشرقيه'!Z2+'الحدود الشماليه'!Z2+'تبوك'!Z2+'الجوف'!Z2+'حائل'!Z2+'نجران'!Z2+'القصيم'!Z2+'الباحه'!Z2+'عسير'!Z2+'جازان'!Z2+'جده'!Z2+'الطائف'!Z2+'العاصمه'!AA2+'القريات'!Z2</f>
        <v>2130</v>
      </c>
      <c r="AA3" s="44">
        <f t="shared" ref="AA3:AA15" si="4">SUM(T3:Z3)</f>
        <v>76619</v>
      </c>
      <c r="AB3" s="94">
        <f>'الرياض'!AB2+'المدينه المنوره'!AB2+'الشرقيه'!AB2+'الحدود الشماليه'!AB2+'تبوك'!AB2+'الجوف'!AB2+'حائل'!AB2+'نجران'!AB2+'القصيم'!AB2+'الباحه'!AB2+'عسير'!AB2+'جازان'!AB2+'جده'!AB2+'الطائف'!AB2+'العاصمه'!AC2+'القريات'!AB2</f>
        <v>11438</v>
      </c>
      <c r="AC3" s="94">
        <f>'الرياض'!AC2+'المدينه المنوره'!AC2+'الشرقيه'!AC2+'الحدود الشماليه'!AC2+'تبوك'!AC2+'الجوف'!AC2+'حائل'!AC2+'نجران'!AC2+'القصيم'!AC2+'الباحه'!AC2+'عسير'!AC2+'جازان'!AC2+'جده'!AC2+'الطائف'!AC2+'العاصمه'!AD2+'القريات'!AC2</f>
        <v>28872</v>
      </c>
      <c r="AD3" s="94">
        <f>'الرياض'!AD2+'المدينه المنوره'!AD2+'الشرقيه'!AD2+'الحدود الشماليه'!AD2+'تبوك'!AD2+'الجوف'!AD2+'حائل'!AD2+'نجران'!AD2+'القصيم'!AD2+'الباحه'!AD2+'عسير'!AD2+'جازان'!AD2+'جده'!AD2+'الطائف'!AD2+'العاصمه'!AE2+'القريات'!AD2</f>
        <v>22999</v>
      </c>
      <c r="AE3" s="94">
        <f>'الرياض'!AE2+'المدينه المنوره'!AE2+'الشرقيه'!AE2+'الحدود الشماليه'!AE2+'تبوك'!AE2+'الجوف'!AE2+'حائل'!AE2+'نجران'!AE2+'القصيم'!AE2+'الباحه'!AE2+'عسير'!AE2+'جازان'!AE2+'جده'!AE2+'الطائف'!AE2+'العاصمه'!AF2+'القريات'!AE2</f>
        <v>13008</v>
      </c>
      <c r="AF3" s="94">
        <f>'الرياض'!AF2+'المدينه المنوره'!AF2+'الشرقيه'!AF2+'الحدود الشماليه'!AF2+'تبوك'!AF2+'الجوف'!AF2+'حائل'!AF2+'نجران'!AF2+'القصيم'!AF2+'الباحه'!AF2+'عسير'!AF2+'جازان'!AF2+'جده'!AF2+'الطائف'!AF2+'العاصمه'!AG2+'القريات'!AF2</f>
        <v>5569</v>
      </c>
      <c r="AG3" s="44">
        <f t="shared" ref="AG3:AG14" si="5">SUM(AB3:AF3)</f>
        <v>81886</v>
      </c>
      <c r="AH3" s="94">
        <f>'الرياض'!AH2+'المدينه المنوره'!AH2+'الشرقيه'!AH2+'الحدود الشماليه'!AH2+'تبوك'!AH2+'الجوف'!AH2+'حائل'!AH2+'نجران'!AH2+'القصيم'!AH2+'الباحه'!AH2+'عسير'!AH2+'جازان'!AH2+'جده'!AH2+'الطائف'!AH2+'العاصمه'!AI2+'القريات'!AH2</f>
        <v>53833</v>
      </c>
      <c r="AI3" s="94">
        <f>'الرياض'!AI2+'المدينه المنوره'!AI2+'الشرقيه'!AI2+'الحدود الشماليه'!AI2+'تبوك'!AI2+'الجوف'!AI2+'حائل'!AI2+'نجران'!AI2+'القصيم'!AI2+'الباحه'!AI2+'عسير'!AI2+'جازان'!AI2+'جده'!AI2+'الطائف'!AI2+'العاصمه'!AJ2+'القريات'!AI2</f>
        <v>28053</v>
      </c>
      <c r="AJ3" s="44">
        <f t="shared" ref="AJ3:AJ14" si="6">SUM(AH3:AI3)</f>
        <v>81886</v>
      </c>
      <c r="AK3" s="94">
        <f>'الرياض'!AK2+'المدينه المنوره'!AK2+'الشرقيه'!AK2+'الحدود الشماليه'!AK2+'تبوك'!AK2+'الجوف'!AK2+'حائل'!AK2+'نجران'!AK2+'القصيم'!AK2+'الباحه'!AK2+'عسير'!AK2+'جازان'!AK2+'جده'!AK2+'الطائف'!AK2+'العاصمه'!AL2+'القريات'!AK2</f>
        <v>46091</v>
      </c>
      <c r="AL3" s="94">
        <f>'الرياض'!AL2+'المدينه المنوره'!AL2+'الشرقيه'!AL2+'الحدود الشماليه'!AL2+'تبوك'!AL2+'الجوف'!AL2+'حائل'!AL2+'نجران'!AL2+'القصيم'!AL2+'الباحه'!AL2+'عسير'!AL2+'جازان'!AL2+'جده'!AL2+'الطائف'!AL2+'العاصمه'!AM2+'القريات'!AL2</f>
        <v>35795</v>
      </c>
      <c r="AM3" s="44">
        <f t="shared" ref="AM3:AM14" si="7">SUM(AK3:AL3)</f>
        <v>81886</v>
      </c>
      <c r="AN3" s="94">
        <f>'الرياض'!AN2+'المدينه المنوره'!AN2+'الشرقيه'!AN2+'الحدود الشماليه'!AN2+'تبوك'!AN2+'الجوف'!AN2+'حائل'!AN2+'نجران'!AN2+'القصيم'!AN2+'الباحه'!AN2+'عسير'!AN2+'جازان'!AN2+'جده'!AN2+'الطائف'!AN2+'العاصمه'!AO2+'القريات'!AN2</f>
        <v>80111</v>
      </c>
      <c r="AO3" s="94">
        <f>'الرياض'!AO2+'المدينه المنوره'!AO2+'الشرقيه'!AO2+'الحدود الشماليه'!AO2+'تبوك'!AO2+'الجوف'!AO2+'حائل'!AO2+'نجران'!AO2+'القصيم'!AO2+'الباحه'!AO2+'عسير'!AO2+'جازان'!AO2+'جده'!AO2+'الطائف'!AO2+'العاصمه'!AP2+'القريات'!AO2</f>
        <v>1775</v>
      </c>
      <c r="AP3" s="44">
        <f t="shared" ref="AP3:AP14" si="8">SUM(AN3:AO3)</f>
        <v>81886</v>
      </c>
      <c r="AQ3" s="94">
        <f>'الرياض'!AQ2+'المدينه المنوره'!AQ2+'الشرقيه'!AQ2+'الحدود الشماليه'!AQ2+'تبوك'!AQ2+'الجوف'!AQ2+'حائل'!AQ2+'نجران'!AQ2+'القصيم'!AQ2+'الباحه'!AQ2+'عسير'!AQ2+'جازان'!AQ2+'جده'!AQ2+'الطائف'!AQ2+'العاصمه'!AR2+'القريات'!AQ2</f>
        <v>53790</v>
      </c>
      <c r="AR3" s="94">
        <f>'الرياض'!AR2+'المدينه المنوره'!AR2+'الشرقيه'!AR2+'الحدود الشماليه'!AR2+'تبوك'!AR2+'الجوف'!AR2+'حائل'!AR2+'نجران'!AR2+'القصيم'!AR2+'الباحه'!AR2+'عسير'!AR2+'جازان'!AR2+'جده'!AR2+'الطائف'!AR2+'العاصمه'!AS2+'القريات'!AR2</f>
        <v>13836</v>
      </c>
      <c r="AS3" s="94">
        <f>'الرياض'!AS2+'المدينه المنوره'!AS2+'الشرقيه'!AS2+'الحدود الشماليه'!AS2+'تبوك'!AS2+'الجوف'!AS2+'حائل'!AS2+'نجران'!AS2+'القصيم'!AS2+'الباحه'!AS2+'عسير'!AS2+'جازان'!AS2+'جده'!AS2+'الطائف'!AS2+'العاصمه'!AT2+'القريات'!AS2</f>
        <v>410</v>
      </c>
      <c r="AT3" s="94">
        <f>'الرياض'!AT2+'المدينه المنوره'!AT2+'الشرقيه'!AT2+'الحدود الشماليه'!AT2+'تبوك'!AT2+'الجوف'!AT2+'حائل'!AT2+'نجران'!AT2+'القصيم'!AT2+'الباحه'!AT2+'عسير'!AT2+'جازان'!AT2+'جده'!AT2+'الطائف'!AT2+'العاصمه'!AU2+'القريات'!AT2</f>
        <v>556</v>
      </c>
      <c r="AU3" s="94">
        <f>'الرياض'!AU2+'المدينه المنوره'!AU2+'الشرقيه'!AU2+'الحدود الشماليه'!AU2+'تبوك'!AU2+'الجوف'!AU2+'حائل'!AU2+'نجران'!AU2+'القصيم'!AU2+'الباحه'!AU2+'عسير'!AU2+'جازان'!AU2+'جده'!AU2+'الطائف'!AU2+'العاصمه'!AV2+'القريات'!AU2</f>
        <v>13294</v>
      </c>
      <c r="AV3" s="44">
        <f>+AQ3+AR3+AS3+AT3+AU3</f>
        <v>81886</v>
      </c>
      <c r="AW3" s="44">
        <f t="shared" ref="AW3:AW14" si="9">AU3</f>
        <v>13294</v>
      </c>
      <c r="AX3" s="94">
        <f>'الرياض'!AX2+'المدينه المنوره'!AX2+'الشرقيه'!AX2+'الحدود الشماليه'!AX2+'تبوك'!AX2+'الجوف'!AX2+'حائل'!AX2+'نجران'!AX2+'القصيم'!AX2+'الباحه'!AX2+'عسير'!AX2+'جازان'!AX2+'جده'!AX2+'الطائف'!AX2+'العاصمه'!AY2+'القريات'!AX2</f>
        <v>57476</v>
      </c>
      <c r="AY3" s="94">
        <f>'الرياض'!AY2+'المدينه المنوره'!AY2+'الشرقيه'!AY2+'الحدود الشماليه'!AY2+'تبوك'!AY2+'الجوف'!AY2+'حائل'!AY2+'نجران'!AY2+'القصيم'!AY2+'الباحه'!AY2+'عسير'!AY2+'جازان'!AY2+'جده'!AY2+'الطائف'!AY2+'العاصمه'!AZ2+'القريات'!AY2</f>
        <v>11116</v>
      </c>
      <c r="AZ3" s="94">
        <f t="shared" ref="AZ3:AZ14" si="10">SUM(AW3:AY3)</f>
        <v>81886</v>
      </c>
      <c r="BA3" s="94">
        <f>'الرياض'!BA2+'المدينه المنوره'!BA2+'الشرقيه'!BA2+'الحدود الشماليه'!BA2+'تبوك'!BA2+'الجوف'!BA2+'حائل'!BA2+'نجران'!BA2+'القصيم'!BA2+'الباحه'!BA2+'عسير'!BA2+'جازان'!BA2+'جده'!BA2+'الطائف'!BA2+'العاصمه'!BB2+'القريات'!BA2</f>
        <v>33980</v>
      </c>
      <c r="BB3" s="94">
        <f>'الرياض'!BB2+'المدينه المنوره'!BB2+'الشرقيه'!BB2+'الحدود الشماليه'!BB2+'تبوك'!BB2+'الجوف'!BB2+'حائل'!BB2+'نجران'!BB2+'القصيم'!BB2+'الباحه'!BB2+'عسير'!BB2+'جازان'!BB2+'جده'!BB2+'الطائف'!BB2+'العاصمه'!BC2+'القريات'!$BB$2</f>
        <v>5608</v>
      </c>
      <c r="BC3" s="94">
        <f>'الرياض'!BC2+'المدينه المنوره'!BC2+'الشرقيه'!BC2+'الحدود الشماليه'!BC2+'تبوك'!BC2+'الجوف'!BC2+'حائل'!BC2+'نجران'!BC2+'القصيم'!BC2+'الباحه'!BC2+'عسير'!BC2+'جازان'!BC2+'جده'!BC2+'الطائف'!BC2+'العاصمه'!BD2+'القريات'!BC2</f>
        <v>688</v>
      </c>
      <c r="BD3" s="94">
        <f>'الرياض'!BD2+'المدينه المنوره'!BD2+'الشرقيه'!BD2+'الحدود الشماليه'!BD2+'تبوك'!BD2+'الجوف'!BD2+'حائل'!BD2+'نجران'!BD2+'القصيم'!BD2+'الباحه'!BD2+'عسير'!BD2+'جازان'!BD2+'جده'!BD2+'الطائف'!BD2+'العاصمه'!BE2+'القريات'!BD2</f>
        <v>154</v>
      </c>
      <c r="BE3" s="94">
        <f>'الرياض'!BE2+'المدينه المنوره'!BE2+'الشرقيه'!BE2+'الحدود الشماليه'!BE2+'تبوك'!BE2+'الجوف'!BE2+'حائل'!BE2+'نجران'!BE2+'القصيم'!BE2+'الباحه'!BE2+'عسير'!BE2+'جازان'!BE2+'جده'!BE2+'الطائف'!BE2+'العاصمه'!BF2+'القريات'!BE2</f>
        <v>44</v>
      </c>
      <c r="BF3" s="94">
        <f>'الرياض'!BF2+'المدينه المنوره'!BF2+'الشرقيه'!BF2+'الحدود الشماليه'!BF2+'تبوك'!BF2+'الجوف'!BF2+'حائل'!BF2+'نجران'!BF2+'القصيم'!BF2+'الباحه'!BF2+'عسير'!BF2+'جازان'!BF2+'جده'!BF2+'الطائف'!BF2+'العاصمه'!BG2+'القريات'!BF2</f>
        <v>2519</v>
      </c>
      <c r="BG3" s="94">
        <f>'الرياض'!BG2+'المدينه المنوره'!BG2+'الشرقيه'!BG2+'الحدود الشماليه'!BG2+'تبوك'!BG2+'الجوف'!BG2+'حائل'!BG2+'نجران'!BG2+'القصيم'!BG2+'الباحه'!BG2+'عسير'!BG2+'جازان'!BG2+'جده'!BG2+'الطائف'!BG2+'العاصمه'!BH2+'القريات'!BG2</f>
        <v>2708</v>
      </c>
      <c r="BH3" s="94">
        <f>'الرياض'!BH2+'المدينه المنوره'!BH2+'الشرقيه'!BH2+'الحدود الشماليه'!BH2+'تبوك'!BH2+'الجوف'!BH2+'حائل'!BH2+'نجران'!BH2+'القصيم'!BH2+'الباحه'!BH2+'عسير'!BH2+'جازان'!BH2+'جده'!BH2+'الطائف'!BH2+'العاصمه'!BI2+'القريات'!BH2</f>
        <v>1430</v>
      </c>
      <c r="BI3" s="94">
        <f t="shared" ref="BI3:BI15" si="11">SUM(BA3:BH3)</f>
        <v>47131</v>
      </c>
      <c r="BJ3" s="95">
        <f>'الرياض'!BJ2+'المدينه المنوره'!BJ2+'الشرقيه'!BJ2+'الحدود الشماليه'!BJ2+'تبوك'!BJ2+'الجوف'!BJ2+'حائل'!BJ2+'نجران'!BJ2+'القصيم'!BJ2+'الباحه'!BJ2+'عسير'!BJ2+'جازان'!BJ2+'جده'!BJ2+'الطائف'!BJ2+'العاصمه'!BK2+'القريات'!BJ2</f>
        <v>5084</v>
      </c>
      <c r="BK3" s="95">
        <f>'الرياض'!BK2+'المدينه المنوره'!BK2+'الشرقيه'!BK2+'الحدود الشماليه'!BK2+'تبوك'!BK2+'الجوف'!BK2+'حائل'!BK2+'نجران'!BK2+'القصيم'!BK2+'الباحه'!BK2+'عسير'!BK2+'جازان'!BK2+'جده'!BK2+'الطائف'!BK2+'العاصمه'!BL2+'القريات'!BK2</f>
        <v>5072</v>
      </c>
      <c r="BL3" s="95">
        <f>'الرياض'!BL2+'المدينه المنوره'!BL2+'الشرقيه'!BL2+'الحدود الشماليه'!BL2+'تبوك'!BL2+'الجوف'!BL2+'حائل'!BL2+'نجران'!BL2+'القصيم'!BL2+'الباحه'!BL2+'عسير'!BL2+'جازان'!BL2+'جده'!BL2+'الطائف'!BL2+'العاصمه'!BM2+'القريات'!BL2</f>
        <v>6219</v>
      </c>
      <c r="BM3" s="95">
        <f>'الرياض'!BM2+'المدينه المنوره'!BM2+'الشرقيه'!BM2+'الحدود الشماليه'!BM2+'تبوك'!BM2+'الجوف'!BM2+'حائل'!BM2+'نجران'!BM2+'القصيم'!BM2+'الباحه'!BM2+'عسير'!BM2+'جازان'!BM2+'جده'!BM2+'الطائف'!BM2+'العاصمه'!BN2+'القريات'!BM2</f>
        <v>5170</v>
      </c>
      <c r="BN3" s="95">
        <f>'الرياض'!BN2+'المدينه المنوره'!BN2+'الشرقيه'!BN2+'الحدود الشماليه'!BN2+'تبوك'!BN2+'الجوف'!BN2+'حائل'!BN2+'نجران'!BN2+'القصيم'!BN2+'الباحه'!BN2+'عسير'!BN2+'جازان'!BN2+'جده'!BN2+'الطائف'!BN2+'العاصمه'!BO2+'القريات'!BN2</f>
        <v>12257</v>
      </c>
      <c r="BO3" s="95">
        <f>'الرياض'!BO2+'المدينه المنوره'!BO2+'الشرقيه'!BO2+'الحدود الشماليه'!BO2+'تبوك'!BO2+'الجوف'!BO2+'حائل'!BO2+'نجران'!BO2+'القصيم'!BO2+'الباحه'!BO2+'عسير'!BO2+'جازان'!BO2+'جده'!BO2+'الطائف'!BO2+'العاصمه'!BP2+'القريات'!BO2</f>
        <v>47</v>
      </c>
      <c r="BP3" s="95">
        <f>'الرياض'!BP2+'المدينه المنوره'!BP2+'الشرقيه'!BP2+'الحدود الشماليه'!BP2+'تبوك'!BP2+'الجوف'!BP2+'حائل'!BP2+'نجران'!BP2+'القصيم'!BP2+'الباحه'!BP2+'عسير'!BP2+'جازان'!BP2+'جده'!BP2+'الطائف'!BP2+'العاصمه'!BQ2+'القريات'!BP2</f>
        <v>13282</v>
      </c>
      <c r="BQ3" s="24">
        <f t="shared" ref="BQ3:BQ14" si="12">SUM(BJ3:BP3)</f>
        <v>47131</v>
      </c>
      <c r="BR3" s="96">
        <f>'الرياض'!BR2+'المدينه المنوره'!BR2+'الشرقيه'!BR2+'الحدود الشماليه'!BR2+'تبوك'!BR2+'الجوف'!BR2+'حائل'!BR2+'نجران'!BR2+'القصيم'!BR2+'الباحه'!BR2+'عسير'!BR2+'جازان'!BR2+'جده'!BR2+'الطائف'!BR2+'العاصمه'!BS2+'القريات'!BR2</f>
        <v>3192</v>
      </c>
      <c r="BS3" s="96">
        <f>'الرياض'!BS2+'المدينه المنوره'!BS2+'الشرقيه'!BS2+'الحدود الشماليه'!BS2+'تبوك'!BS2+'الجوف'!BS2+'حائل'!BS2+'نجران'!BS2+'القصيم'!BS2+'الباحه'!BS2+'عسير'!BS2+'جازان'!BS2+'جده'!BS2+'الطائف'!BS2+'العاصمه'!BT2+'القريات'!BS2</f>
        <v>734</v>
      </c>
      <c r="BT3" s="97">
        <f>'الرياض'!BT2+'المدينه المنوره'!BT2+'الشرقيه'!BT2+'الحدود الشماليه'!BT2+'تبوك'!BT2+'الجوف'!BT2+'حائل'!BT2+'نجران'!BT2+'القصيم'!BT2+'الباحه'!BT2+'عسير'!BT2+'جازان'!BT2+'جده'!BT2+'الطائف'!BT2+'العاصمه'!BU2+'القريات'!BT2</f>
        <v>76214</v>
      </c>
      <c r="BU3" s="98">
        <f t="shared" ref="BU3:BU14" si="13">SUM(BR3:BT3)</f>
        <v>80140</v>
      </c>
    </row>
    <row r="4" ht="24.0" customHeight="1">
      <c r="A4" s="24" t="s">
        <v>70</v>
      </c>
      <c r="B4" s="97">
        <f>'الرياض'!B3+'المدينه المنوره'!B3+'الشرقيه'!B3+'الحدود الشماليه'!B3+'تبوك'!B3+'الجوف'!B3+'حائل'!B3+'نجران'!B3+'القصيم'!B3+'الباحه'!B3+'عسير'!B3+'جازان'!B3+'جده'!B3+'الطائف'!B3+'العاصمه'!C3+'القريات'!B3</f>
        <v>43605</v>
      </c>
      <c r="C4" s="97">
        <f>'الرياض'!C3+'المدينه المنوره'!C3+'الشرقيه'!C3+'الحدود الشماليه'!C3+'تبوك'!C3+'الجوف'!C3+'حائل'!C3+'نجران'!C3+'القصيم'!C3+'الباحه'!C3+'عسير'!C3+'جازان'!C3+'جده'!C3+'الطائف'!C3+'العاصمه'!D3+'القريات'!C3</f>
        <v>1958</v>
      </c>
      <c r="D4" s="97">
        <f>'الرياض'!D3+'المدينه المنوره'!D3+'الشرقيه'!D3+'الحدود الشماليه'!D3+'تبوك'!D3+'الجوف'!D3+'حائل'!D3+'نجران'!D3+'القصيم'!D3+'الباحه'!D3+'عسير'!D3+'جازان'!D3+'جده'!D3+'الطائف'!D3+'العاصمه'!E3+'القريات'!D3</f>
        <v>587</v>
      </c>
      <c r="E4" s="98">
        <f t="shared" si="1"/>
        <v>46150</v>
      </c>
      <c r="F4" s="95">
        <f>'الرياض'!F3+'المدينه المنوره'!F3+'الشرقيه'!F3+'الحدود الشماليه'!F3+'تبوك'!F3+'الجوف'!F3+'حائل'!F3+'نجران'!F3+'القصيم'!F3+'الباحه'!F3+'عسير'!F3+'جازان'!F3+'جده'!F3+'الطائف'!F3+'العاصمه'!G3+'القريات'!F3</f>
        <v>6402</v>
      </c>
      <c r="G4" s="95">
        <f>'الرياض'!G3+'المدينه المنوره'!G3+'الشرقيه'!G3+'الحدود الشماليه'!G3+'تبوك'!G3+'الجوف'!G3+'حائل'!G3+'نجران'!G3+'القصيم'!G3+'الباحه'!G3+'عسير'!G3+'جازان'!G3+'جده'!G3+'الطائف'!G3+'العاصمه'!H3+'القريات'!G3</f>
        <v>6918</v>
      </c>
      <c r="H4" s="95">
        <f>'الرياض'!H3+'المدينه المنوره'!H3+'الشرقيه'!H3+'الحدود الشماليه'!H3+'تبوك'!H3+'الجوف'!H3+'حائل'!H3+'نجران'!H3+'القصيم'!H3+'الباحه'!H3+'عسير'!H3+'جازان'!H3+'جده'!H3+'الطائف'!H3+'العاصمه'!I3+'القريات'!H3</f>
        <v>6422</v>
      </c>
      <c r="I4" s="95">
        <f>'الرياض'!I3+'المدينه المنوره'!I3+'الشرقيه'!I3+'الحدود الشماليه'!I3+'تبوك'!I3+'الجوف'!I3+'حائل'!I3+'نجران'!I3+'القصيم'!I3+'الباحه'!I3+'عسير'!I3+'جازان'!I3+'جده'!I3+'الطائف'!I3+'العاصمه'!J3+'القريات'!I3</f>
        <v>6801</v>
      </c>
      <c r="J4" s="95">
        <f>'الرياض'!J3+'المدينه المنوره'!J3+'الشرقيه'!J3+'الحدود الشماليه'!J3+'تبوك'!J3+'الجوف'!J3+'حائل'!J3+'نجران'!J3+'القصيم'!J3+'الباحه'!J3+'عسير'!J3+'جازان'!J3+'جده'!J3+'الطائف'!J3+'العاصمه'!K3+'القريات'!J3</f>
        <v>6628</v>
      </c>
      <c r="K4" s="95">
        <f>'الرياض'!K3+'المدينه المنوره'!K3+'الشرقيه'!K3+'الحدود الشماليه'!K3+'تبوك'!K3+'الجوف'!K3+'حائل'!K3+'نجران'!K3+'القصيم'!K3+'الباحه'!K3+'عسير'!K3+'جازان'!K3+'جده'!K3+'الطائف'!K3+'العاصمه'!L3+'القريات'!K3</f>
        <v>6793</v>
      </c>
      <c r="L4" s="95">
        <f>'الرياض'!L3+'المدينه المنوره'!L3+'الشرقيه'!L3+'الحدود الشماليه'!L3+'تبوك'!L3+'الجوف'!L3+'حائل'!L3+'نجران'!L3+'القصيم'!L3+'الباحه'!L3+'عسير'!L3+'جازان'!L3+'جده'!L3+'الطائف'!L3+'العاصمه'!M3+'القريات'!L3</f>
        <v>6186</v>
      </c>
      <c r="M4" s="24">
        <f t="shared" ref="M4:M14" si="14">SUM(F4:L4)</f>
        <v>46150</v>
      </c>
      <c r="N4" s="95">
        <f>'الرياض'!N3+'المدينه المنوره'!N3+'الشرقيه'!N3+'الحدود الشماليه'!N3+'تبوك'!N3+'الجوف'!N3+'حائل'!N3+'نجران'!N3+'القصيم'!N3+'الباحه'!N3+'عسير'!N3+'جازان'!N3+'جده'!N3+'الطائف'!N3+'العاصمه'!O3+'القريات'!N3</f>
        <v>29573</v>
      </c>
      <c r="O4" s="95">
        <f>'الرياض'!O3+'المدينه المنوره'!O3+'الشرقيه'!O3+'الحدود الشماليه'!O3+'تبوك'!O3+'الجوف'!O3+'حائل'!O3+'نجران'!O3+'القصيم'!O3+'الباحه'!O3+'عسير'!O3+'جازان'!O3+'جده'!O3+'الطائف'!O3+'العاصمه'!P3+'القريات'!O3</f>
        <v>16577</v>
      </c>
      <c r="P4" s="24">
        <f t="shared" si="2"/>
        <v>46150</v>
      </c>
      <c r="Q4" s="95">
        <f>'الرياض'!Q3+'المدينه المنوره'!Q3+'الشرقيه'!Q3+'الحدود الشماليه'!Q3+'تبوك'!Q3+'الجوف'!Q3+'حائل'!Q3+'نجران'!Q3+'القصيم'!Q3+'الباحه'!Q3+'عسير'!Q3+'جازان'!Q3+'جده'!Q3+'الطائف'!Q3+'العاصمه'!R3+'القريات'!Q3</f>
        <v>34628</v>
      </c>
      <c r="R4" s="95">
        <f>'الرياض'!R3+'المدينه المنوره'!R3+'الشرقيه'!R3+'الحدود الشماليه'!R3+'تبوك'!R3+'الجوف'!R3+'حائل'!R3+'نجران'!R3+'القصيم'!R3+'الباحه'!R3+'عسير'!R3+'جازان'!R3+'جده'!R3+'الطائف'!R3+'العاصمه'!S3+'القريات'!R3</f>
        <v>11522</v>
      </c>
      <c r="S4" s="24">
        <f t="shared" si="3"/>
        <v>46150</v>
      </c>
      <c r="T4" s="95">
        <f>'الرياض'!T3+'المدينه المنوره'!T3+'الشرقيه'!T3+'الحدود الشماليه'!T3+'تبوك'!T3+'الجوف'!T3+'حائل'!T3+'نجران'!T3+'القصيم'!T3+'الباحه'!T3+'عسير'!T3+'جازان'!T3+'جده'!T3+'الطائف'!T3+'العاصمه'!U3+'القريات'!T3</f>
        <v>40576</v>
      </c>
      <c r="U4" s="95">
        <f>'الرياض'!U3+'المدينه المنوره'!U3+'الشرقيه'!U3+'الحدود الشماليه'!U3+'تبوك'!U3+'الجوف'!U3+'حائل'!U3+'نجران'!U3+'القصيم'!U3+'الباحه'!U3+'عسير'!U3+'جازان'!U3+'جده'!U3+'الطائف'!U3+'العاصمه'!V3+'القريات'!U3</f>
        <v>11882</v>
      </c>
      <c r="V4" s="95">
        <f>'الرياض'!V3+'المدينه المنوره'!V3+'الشرقيه'!V3+'الحدود الشماليه'!V3+'تبوك'!V3+'الجوف'!V3+'حائل'!V3+'نجران'!V3+'القصيم'!V3+'الباحه'!V3+'عسير'!V3+'جازان'!V3+'جده'!V3+'الطائف'!V3+'العاصمه'!W3+'القريات'!V3</f>
        <v>1771</v>
      </c>
      <c r="W4" s="95">
        <f>'الرياض'!W3+'المدينه المنوره'!W3+'الشرقيه'!W3+'الحدود الشماليه'!W3+'تبوك'!W3+'الجوف'!W3+'حائل'!W3+'نجران'!W3+'القصيم'!W3+'الباحه'!W3+'عسير'!W3+'جازان'!W3+'جده'!W3+'الطائف'!W3+'العاصمه'!X3+'القريات'!W3</f>
        <v>10489</v>
      </c>
      <c r="X4" s="95">
        <f>'الرياض'!X3+'المدينه المنوره'!X3+'الشرقيه'!X3+'الحدود الشماليه'!X3+'تبوك'!X3+'الجوف'!X3+'حائل'!X3+'نجران'!X3+'القصيم'!X3+'الباحه'!X3+'عسير'!X3+'جازان'!X3+'جده'!X3+'الطائف'!X3+'العاصمه'!Y3+'القريات'!X3</f>
        <v>6778</v>
      </c>
      <c r="Y4" s="95">
        <f>'الرياض'!Y3+'المدينه المنوره'!Y3+'الشرقيه'!Y3+'الحدود الشماليه'!Y3+'تبوك'!Y3+'الجوف'!Y3+'حائل'!Y3+'نجران'!Y3+'القصيم'!Y3+'الباحه'!Y3+'عسير'!Y3+'جازان'!Y3+'جده'!Y3+'الطائف'!Y3+'العاصمه'!Z3+'القريات'!Y3</f>
        <v>1416</v>
      </c>
      <c r="Z4" s="95">
        <f>'الرياض'!Z3+'المدينه المنوره'!Z3+'الشرقيه'!Z3+'الحدود الشماليه'!Z3+'تبوك'!Z3+'الجوف'!Z3+'حائل'!Z3+'نجران'!Z3+'القصيم'!Z3+'الباحه'!Z3+'عسير'!Z3+'جازان'!Z3+'جده'!Z3+'الطائف'!Z3+'العاصمه'!AA3+'القريات'!Z3</f>
        <v>1955</v>
      </c>
      <c r="AA4" s="24">
        <f t="shared" si="4"/>
        <v>74867</v>
      </c>
      <c r="AB4" s="95">
        <f>'الرياض'!AB3+'المدينه المنوره'!AB3+'الشرقيه'!AB3+'الحدود الشماليه'!AB3+'تبوك'!AB3+'الجوف'!AB3+'حائل'!AB3+'نجران'!AB3+'القصيم'!AB3+'الباحه'!AB3+'عسير'!AB3+'جازان'!AB3+'جده'!AB3+'الطائف'!AB3+'العاصمه'!AC3+'القريات'!AB3</f>
        <v>11593</v>
      </c>
      <c r="AC4" s="95">
        <f>'الرياض'!AC3+'المدينه المنوره'!AC3+'الشرقيه'!AC3+'الحدود الشماليه'!AC3+'تبوك'!AC3+'الجوف'!AC3+'حائل'!AC3+'نجران'!AC3+'القصيم'!AC3+'الباحه'!AC3+'عسير'!AC3+'جازان'!AC3+'جده'!AC3+'الطائف'!AC3+'العاصمه'!AD3+'القريات'!AC3</f>
        <v>28100</v>
      </c>
      <c r="AD4" s="95">
        <f>'الرياض'!AD3+'المدينه المنوره'!AD3+'الشرقيه'!AD3+'الحدود الشماليه'!AD3+'تبوك'!AD3+'الجوف'!AD3+'حائل'!AD3+'نجران'!AD3+'القصيم'!AD3+'الباحه'!AD3+'عسير'!AD3+'جازان'!AD3+'جده'!AD3+'الطائف'!AD3+'العاصمه'!AE3+'القريات'!AD3</f>
        <v>20617</v>
      </c>
      <c r="AE4" s="95">
        <f>'الرياض'!AE3+'المدينه المنوره'!AE3+'الشرقيه'!AE3+'الحدود الشماليه'!AE3+'تبوك'!AE3+'الجوف'!AE3+'حائل'!AE3+'نجران'!AE3+'القصيم'!AE3+'الباحه'!AE3+'عسير'!AE3+'جازان'!AE3+'جده'!AE3+'الطائف'!AE3+'العاصمه'!AF3+'القريات'!AE3</f>
        <v>13103</v>
      </c>
      <c r="AF4" s="95">
        <f>'الرياض'!AF3+'المدينه المنوره'!AF3+'الشرقيه'!AF3+'الحدود الشماليه'!AF3+'تبوك'!AF3+'الجوف'!AF3+'حائل'!AF3+'نجران'!AF3+'القصيم'!AF3+'الباحه'!AF3+'عسير'!AF3+'جازان'!AF3+'جده'!AF3+'الطائف'!AF3+'العاصمه'!AG3+'القريات'!AF3</f>
        <v>6956</v>
      </c>
      <c r="AG4" s="24">
        <f t="shared" si="5"/>
        <v>80369</v>
      </c>
      <c r="AH4" s="95">
        <f>'الرياض'!AH3+'المدينه المنوره'!AH3+'الشرقيه'!AH3+'الحدود الشماليه'!AH3+'تبوك'!AH3+'الجوف'!AH3+'حائل'!AH3+'نجران'!AH3+'القصيم'!AH3+'الباحه'!AH3+'عسير'!AH3+'جازان'!AH3+'جده'!AH3+'الطائف'!AH3+'العاصمه'!AI3+'القريات'!AH3</f>
        <v>53069</v>
      </c>
      <c r="AI4" s="95">
        <f>'الرياض'!AI3+'المدينه المنوره'!AI3+'الشرقيه'!AI3+'الحدود الشماليه'!AI3+'تبوك'!AI3+'الجوف'!AI3+'حائل'!AI3+'نجران'!AI3+'القصيم'!AI3+'الباحه'!AI3+'عسير'!AI3+'جازان'!AI3+'جده'!AI3+'الطائف'!AI3+'العاصمه'!AJ3+'القريات'!AI3</f>
        <v>27300</v>
      </c>
      <c r="AJ4" s="24">
        <f t="shared" si="6"/>
        <v>80369</v>
      </c>
      <c r="AK4" s="95">
        <f>'الرياض'!AK3+'المدينه المنوره'!AK3+'الشرقيه'!AK3+'الحدود الشماليه'!AK3+'تبوك'!AK3+'الجوف'!AK3+'حائل'!AK3+'نجران'!AK3+'القصيم'!AK3+'الباحه'!AK3+'عسير'!AK3+'جازان'!AK3+'جده'!AK3+'الطائف'!AK3+'العاصمه'!AL3+'القريات'!AK3</f>
        <v>46151</v>
      </c>
      <c r="AL4" s="95">
        <f>'الرياض'!AL3+'المدينه المنوره'!AL3+'الشرقيه'!AL3+'الحدود الشماليه'!AL3+'تبوك'!AL3+'الجوف'!AL3+'حائل'!AL3+'نجران'!AL3+'القصيم'!AL3+'الباحه'!AL3+'عسير'!AL3+'جازان'!AL3+'جده'!AL3+'الطائف'!AL3+'العاصمه'!AM3+'القريات'!AL3</f>
        <v>34218</v>
      </c>
      <c r="AM4" s="24">
        <f t="shared" si="7"/>
        <v>80369</v>
      </c>
      <c r="AN4" s="95">
        <f>'الرياض'!AN3+'المدينه المنوره'!AN3+'الشرقيه'!AN3+'الحدود الشماليه'!AN3+'تبوك'!AN3+'الجوف'!AN3+'حائل'!AN3+'نجران'!AN3+'القصيم'!AN3+'الباحه'!AN3+'عسير'!AN3+'جازان'!AN3+'جده'!AN3+'الطائف'!AN3+'العاصمه'!AO3+'القريات'!AN3</f>
        <v>78893</v>
      </c>
      <c r="AO4" s="95">
        <f>'الرياض'!AO3+'المدينه المنوره'!AO3+'الشرقيه'!AO3+'الحدود الشماليه'!AO3+'تبوك'!AO3+'الجوف'!AO3+'حائل'!AO3+'نجران'!AO3+'القصيم'!AO3+'الباحه'!AO3+'عسير'!AO3+'جازان'!AO3+'جده'!AO3+'الطائف'!AO3+'العاصمه'!AP3+'القريات'!AO3</f>
        <v>1476</v>
      </c>
      <c r="AP4" s="24">
        <f t="shared" si="8"/>
        <v>80369</v>
      </c>
      <c r="AQ4" s="95">
        <f>'الرياض'!AQ3+'المدينه المنوره'!AQ3+'الشرقيه'!AQ3+'الحدود الشماليه'!AQ3+'تبوك'!AQ3+'الجوف'!AQ3+'حائل'!AQ3+'نجران'!AQ3+'القصيم'!AQ3+'الباحه'!AQ3+'عسير'!AQ3+'جازان'!AQ3+'جده'!AQ3+'الطائف'!AQ3+'العاصمه'!AR3+'القريات'!AQ3</f>
        <v>50258</v>
      </c>
      <c r="AR4" s="95">
        <f>'الرياض'!AR3+'المدينه المنوره'!AR3+'الشرقيه'!AR3+'الحدود الشماليه'!AR3+'تبوك'!AR3+'الجوف'!AR3+'حائل'!AR3+'نجران'!AR3+'القصيم'!AR3+'الباحه'!AR3+'عسير'!AR3+'جازان'!AR3+'جده'!AR3+'الطائف'!AR3+'العاصمه'!AS3+'القريات'!AR3</f>
        <v>19659</v>
      </c>
      <c r="AS4" s="95">
        <f>'الرياض'!AS3+'المدينه المنوره'!AS3+'الشرقيه'!AS3+'الحدود الشماليه'!AS3+'تبوك'!AS3+'الجوف'!AS3+'حائل'!AS3+'نجران'!AS3+'القصيم'!AS3+'الباحه'!AS3+'عسير'!AS3+'جازان'!AS3+'جده'!AS3+'الطائف'!AS3+'العاصمه'!AT3+'القريات'!AS3</f>
        <v>481</v>
      </c>
      <c r="AT4" s="95">
        <f>'الرياض'!AT3+'المدينه المنوره'!AT3+'الشرقيه'!AT3+'الحدود الشماليه'!AT3+'تبوك'!AT3+'الجوف'!AT3+'حائل'!AT3+'نجران'!AT3+'القصيم'!AT3+'الباحه'!AT3+'عسير'!AT3+'جازان'!AT3+'جده'!AT3+'الطائف'!AT3+'العاصمه'!AU3+'القريات'!AT3</f>
        <v>507</v>
      </c>
      <c r="AU4" s="95">
        <f>'الرياض'!AU3+'المدينه المنوره'!AU3+'الشرقيه'!AU3+'الحدود الشماليه'!AU3+'تبوك'!AU3+'الجوف'!AU3+'حائل'!AU3+'نجران'!AU3+'القصيم'!AU3+'الباحه'!AU3+'عسير'!AU3+'جازان'!AU3+'جده'!AU3+'الطائف'!AU3+'العاصمه'!AV3+'القريات'!AU3</f>
        <v>9464</v>
      </c>
      <c r="AV4" s="24">
        <f t="shared" ref="AV4:AV14" si="15">SUM(AQ4:AU4)</f>
        <v>80369</v>
      </c>
      <c r="AW4" s="24">
        <f t="shared" si="9"/>
        <v>9464</v>
      </c>
      <c r="AX4" s="95">
        <f>'الرياض'!AX3+'المدينه المنوره'!AX3+'الشرقيه'!AX3+'الحدود الشماليه'!AX3+'تبوك'!AX3+'الجوف'!AX3+'حائل'!AX3+'نجران'!AX3+'القصيم'!AX3+'الباحه'!AX3+'عسير'!AX3+'جازان'!AX3+'جده'!AX3+'الطائف'!AX3+'العاصمه'!AY3+'القريات'!AX3</f>
        <v>62245</v>
      </c>
      <c r="AY4" s="95">
        <f>'الرياض'!AY3+'المدينه المنوره'!AY3+'الشرقيه'!AY3+'الحدود الشماليه'!AY3+'تبوك'!AY3+'الجوف'!AY3+'حائل'!AY3+'نجران'!AY3+'القصيم'!AY3+'الباحه'!AY3+'عسير'!AY3+'جازان'!AY3+'جده'!AY3+'الطائف'!AY3+'العاصمه'!AZ3+'القريات'!AY3</f>
        <v>8660</v>
      </c>
      <c r="AZ4" s="95">
        <f t="shared" si="10"/>
        <v>80369</v>
      </c>
      <c r="BA4" s="95">
        <f>'الرياض'!BA3+'المدينه المنوره'!BA3+'الشرقيه'!BA3+'الحدود الشماليه'!BA3+'تبوك'!BA3+'الجوف'!BA3+'حائل'!BA3+'نجران'!BA3+'القصيم'!BA3+'الباحه'!BA3+'عسير'!BA3+'جازان'!BA3+'جده'!BA3+'الطائف'!BA3+'العاصمه'!BB3+'القريات'!BA3</f>
        <v>31589</v>
      </c>
      <c r="BB4" s="95">
        <f>'الرياض'!BB3+'المدينه المنوره'!BB3+'الشرقيه'!BB3+'الحدود الشماليه'!BB3+'تبوك'!BB3+'الجوف'!BB3+'حائل'!BB3+'نجران'!BB3+'القصيم'!BB3+'الباحه'!BB3+'عسير'!BB3+'جازان'!BB3+'جده'!BB3+'الطائف'!BB3+'العاصمه'!BC3+'القريات'!$BB$3</f>
        <v>5090</v>
      </c>
      <c r="BC4" s="95">
        <f>'الرياض'!BC3+'المدينه المنوره'!BC3+'الشرقيه'!BC3+'الحدود الشماليه'!BC3+'تبوك'!BC3+'الجوف'!BC3+'حائل'!BC3+'نجران'!BC3+'القصيم'!BC3+'الباحه'!BC3+'عسير'!BC3+'جازان'!BC3+'جده'!BC3+'الطائف'!BC3+'العاصمه'!BD3+'القريات'!BC3</f>
        <v>882</v>
      </c>
      <c r="BD4" s="95">
        <f>'الرياض'!BD3+'المدينه المنوره'!BD3+'الشرقيه'!BD3+'الحدود الشماليه'!BD3+'تبوك'!BD3+'الجوف'!BD3+'حائل'!BD3+'نجران'!BD3+'القصيم'!BD3+'الباحه'!BD3+'عسير'!BD3+'جازان'!BD3+'جده'!BD3+'الطائف'!BD3+'العاصمه'!BE3+'القريات'!BD3</f>
        <v>97</v>
      </c>
      <c r="BE4" s="95">
        <f>'الرياض'!BE3+'المدينه المنوره'!BE3+'الشرقيه'!BE3+'الحدود الشماليه'!BE3+'تبوك'!BE3+'الجوف'!BE3+'حائل'!BE3+'نجران'!BE3+'القصيم'!BE3+'الباحه'!BE3+'عسير'!BE3+'جازان'!BE3+'جده'!BE3+'الطائف'!BE3+'العاصمه'!BF3+'القريات'!BE3</f>
        <v>80</v>
      </c>
      <c r="BF4" s="95">
        <f>'الرياض'!BF3+'المدينه المنوره'!BF3+'الشرقيه'!BF3+'الحدود الشماليه'!BF3+'تبوك'!BF3+'الجوف'!BF3+'حائل'!BF3+'نجران'!BF3+'القصيم'!BF3+'الباحه'!BF3+'عسير'!BF3+'جازان'!BF3+'جده'!BF3+'الطائف'!BF3+'العاصمه'!BG3+'القريات'!BF3</f>
        <v>3458</v>
      </c>
      <c r="BG4" s="95">
        <f>'الرياض'!BG3+'المدينه المنوره'!BG3+'الشرقيه'!BG3+'الحدود الشماليه'!BG3+'تبوك'!BG3+'الجوف'!BG3+'حائل'!BG3+'نجران'!BG3+'القصيم'!BG3+'الباحه'!BG3+'عسير'!BG3+'جازان'!BG3+'جده'!BG3+'الطائف'!BG3+'العاصمه'!BH3+'القريات'!BG3</f>
        <v>3757</v>
      </c>
      <c r="BH4" s="95">
        <f>'الرياض'!BH3+'المدينه المنوره'!BH3+'الشرقيه'!BH3+'الحدود الشماليه'!BH3+'تبوك'!BH3+'الجوف'!BH3+'حائل'!BH3+'نجران'!BH3+'القصيم'!BH3+'الباحه'!BH3+'عسير'!BH3+'جازان'!BH3+'جده'!BH3+'الطائف'!BH3+'العاصمه'!BI3+'القريات'!BH3</f>
        <v>1197</v>
      </c>
      <c r="BI4" s="95">
        <f t="shared" si="11"/>
        <v>46150</v>
      </c>
      <c r="BJ4" s="95">
        <f>'الرياض'!BJ3+'المدينه المنوره'!BJ3+'الشرقيه'!BJ3+'الحدود الشماليه'!BJ3+'تبوك'!BJ3+'الجوف'!BJ3+'حائل'!BJ3+'نجران'!BJ3+'القصيم'!BJ3+'الباحه'!BJ3+'عسير'!BJ3+'جازان'!BJ3+'جده'!BJ3+'الطائف'!BJ3+'العاصمه'!BK3+'القريات'!BJ3</f>
        <v>4670</v>
      </c>
      <c r="BK4" s="95">
        <f>'الرياض'!BK3+'المدينه المنوره'!BK3+'الشرقيه'!BK3+'الحدود الشماليه'!BK3+'تبوك'!BK3+'الجوف'!BK3+'حائل'!BK3+'نجران'!BK3+'القصيم'!BK3+'الباحه'!BK3+'عسير'!BK3+'جازان'!BK3+'جده'!BK3+'الطائف'!BK3+'العاصمه'!BL3+'القريات'!BK3</f>
        <v>5097</v>
      </c>
      <c r="BL4" s="95">
        <f>'الرياض'!BL3+'المدينه المنوره'!BL3+'الشرقيه'!BL3+'الحدود الشماليه'!BL3+'تبوك'!BL3+'الجوف'!BL3+'حائل'!BL3+'نجران'!BL3+'القصيم'!BL3+'الباحه'!BL3+'عسير'!BL3+'جازان'!BL3+'جده'!BL3+'الطائف'!BL3+'العاصمه'!BM3+'القريات'!BL3</f>
        <v>6204</v>
      </c>
      <c r="BM4" s="95">
        <f>'الرياض'!BM3+'المدينه المنوره'!BM3+'الشرقيه'!BM3+'الحدود الشماليه'!BM3+'تبوك'!BM3+'الجوف'!BM3+'حائل'!BM3+'نجران'!BM3+'القصيم'!BM3+'الباحه'!BM3+'عسير'!BM3+'جازان'!BM3+'جده'!BM3+'الطائف'!BM3+'العاصمه'!BN3+'القريات'!BM3</f>
        <v>4659</v>
      </c>
      <c r="BN4" s="95">
        <f>'الرياض'!BN3+'المدينه المنوره'!BN3+'الشرقيه'!BN3+'الحدود الشماليه'!BN3+'تبوك'!BN3+'الجوف'!BN3+'حائل'!BN3+'نجران'!BN3+'القصيم'!BN3+'الباحه'!BN3+'عسير'!BN3+'جازان'!BN3+'جده'!BN3+'الطائف'!BN3+'العاصمه'!BO3+'القريات'!BN3</f>
        <v>12433</v>
      </c>
      <c r="BO4" s="95">
        <f>'الرياض'!BO3+'المدينه المنوره'!BO3+'الشرقيه'!BO3+'الحدود الشماليه'!BO3+'تبوك'!BO3+'الجوف'!BO3+'حائل'!BO3+'نجران'!BO3+'القصيم'!BO3+'الباحه'!BO3+'عسير'!BO3+'جازان'!BO3+'جده'!BO3+'الطائف'!BO3+'العاصمه'!BP3+'القريات'!BO3</f>
        <v>8</v>
      </c>
      <c r="BP4" s="95">
        <f>'الرياض'!BP3+'المدينه المنوره'!BP3+'الشرقيه'!BP3+'الحدود الشماليه'!BP3+'تبوك'!BP3+'الجوف'!BP3+'حائل'!BP3+'نجران'!BP3+'القصيم'!BP3+'الباحه'!BP3+'عسير'!BP3+'جازان'!BP3+'جده'!BP3+'الطائف'!BP3+'العاصمه'!BQ3+'القريات'!BP3</f>
        <v>13079</v>
      </c>
      <c r="BQ4" s="24">
        <f t="shared" si="12"/>
        <v>46150</v>
      </c>
      <c r="BR4" s="96">
        <f>'الرياض'!BR3+'المدينه المنوره'!BR3+'الشرقيه'!BR3+'الحدود الشماليه'!BR3+'تبوك'!BR3+'الجوف'!BR3+'حائل'!BR3+'نجران'!BR3+'القصيم'!BR3+'الباحه'!BR3+'عسير'!BR3+'جازان'!BR3+'جده'!BR3+'الطائف'!BR3+'العاصمه'!BS3+'القريات'!BR3</f>
        <v>3500</v>
      </c>
      <c r="BS4" s="96">
        <f>'الرياض'!BS3+'المدينه المنوره'!BS3+'الشرقيه'!BS3+'الحدود الشماليه'!BS3+'تبوك'!BS3+'الجوف'!BS3+'حائل'!BS3+'نجران'!BS3+'القصيم'!BS3+'الباحه'!BS3+'عسير'!BS3+'جازان'!BS3+'جده'!BS3+'الطائف'!BS3+'العاصمه'!BT3+'القريات'!BS3</f>
        <v>733</v>
      </c>
      <c r="BT4" s="97">
        <f>'الرياض'!BT3+'المدينه المنوره'!BT3+'الشرقيه'!BT3+'الحدود الشماليه'!BT3+'تبوك'!BT3+'الجوف'!BT3+'حائل'!BT3+'نجران'!BT3+'القصيم'!BT3+'الباحه'!BT3+'عسير'!BT3+'جازان'!BT3+'جده'!BT3+'الطائف'!BT3+'العاصمه'!BU3+'القريات'!BT3</f>
        <v>74083</v>
      </c>
      <c r="BU4" s="98">
        <f t="shared" si="13"/>
        <v>78316</v>
      </c>
    </row>
    <row r="5" ht="24.0" customHeight="1">
      <c r="A5" s="24" t="s">
        <v>71</v>
      </c>
      <c r="B5" s="97">
        <f>'الرياض'!B4+'المدينه المنوره'!B4+'الشرقيه'!B4+'الحدود الشماليه'!B4+'تبوك'!B4+'الجوف'!B4+'حائل'!B4+'نجران'!B4+'القصيم'!B4+'الباحه'!B4+'عسير'!B4+'جازان'!B4+'جده'!B4+'الطائف'!B4+'العاصمه'!C4+'القريات'!B4</f>
        <v>42878</v>
      </c>
      <c r="C5" s="97">
        <f>'الرياض'!C4+'المدينه المنوره'!C4+'الشرقيه'!C4+'الحدود الشماليه'!C4+'تبوك'!C4+'الجوف'!C4+'حائل'!C4+'نجران'!C4+'القصيم'!C4+'الباحه'!C4+'عسير'!C4+'جازان'!C4+'جده'!C4+'الطائف'!C4+'العاصمه'!D4+'القريات'!C4</f>
        <v>1999</v>
      </c>
      <c r="D5" s="97">
        <f>'الرياض'!D4+'المدينه المنوره'!D4+'الشرقيه'!D4+'الحدود الشماليه'!D4+'تبوك'!D4+'الجوف'!D4+'حائل'!D4+'نجران'!D4+'القصيم'!D4+'الباحه'!D4+'عسير'!D4+'جازان'!D4+'جده'!D4+'الطائف'!D4+'العاصمه'!E4+'القريات'!D4</f>
        <v>566</v>
      </c>
      <c r="E5" s="98">
        <f t="shared" si="1"/>
        <v>45443</v>
      </c>
      <c r="F5" s="95">
        <f>'الرياض'!F4+'المدينه المنوره'!F4+'الشرقيه'!F4+'الحدود الشماليه'!F4+'تبوك'!F4+'الجوف'!F4+'حائل'!F4+'نجران'!F4+'القصيم'!F4+'الباحه'!F4+'عسير'!F4+'جازان'!F4+'جده'!F4+'الطائف'!F4+'العاصمه'!G4+'القريات'!F4</f>
        <v>6266</v>
      </c>
      <c r="G5" s="95">
        <f>'الرياض'!G4+'المدينه المنوره'!G4+'الشرقيه'!G4+'الحدود الشماليه'!G4+'تبوك'!G4+'الجوف'!G4+'حائل'!G4+'نجران'!G4+'القصيم'!G4+'الباحه'!G4+'عسير'!G4+'جازان'!G4+'جده'!G4+'الطائف'!G4+'العاصمه'!H4+'القريات'!G4</f>
        <v>7456</v>
      </c>
      <c r="H5" s="95">
        <f>'الرياض'!H4+'المدينه المنوره'!H4+'الشرقيه'!H4+'الحدود الشماليه'!H4+'تبوك'!H4+'الجوف'!H4+'حائل'!H4+'نجران'!H4+'القصيم'!H4+'الباحه'!H4+'عسير'!H4+'جازان'!H4+'جده'!H4+'الطائف'!H4+'العاصمه'!I4+'القريات'!H4</f>
        <v>6574</v>
      </c>
      <c r="I5" s="95">
        <f>'الرياض'!I4+'المدينه المنوره'!I4+'الشرقيه'!I4+'الحدود الشماليه'!I4+'تبوك'!I4+'الجوف'!I4+'حائل'!I4+'نجران'!I4+'القصيم'!I4+'الباحه'!I4+'عسير'!I4+'جازان'!I4+'جده'!I4+'الطائف'!I4+'العاصمه'!J4+'القريات'!I4</f>
        <v>6461</v>
      </c>
      <c r="J5" s="95">
        <f>'الرياض'!J4+'المدينه المنوره'!J4+'الشرقيه'!J4+'الحدود الشماليه'!J4+'تبوك'!J4+'الجوف'!J4+'حائل'!J4+'نجران'!J4+'القصيم'!J4+'الباحه'!J4+'عسير'!J4+'جازان'!J4+'جده'!J4+'الطائف'!J4+'العاصمه'!K4+'القريات'!J4</f>
        <v>6172</v>
      </c>
      <c r="K5" s="95">
        <f>'الرياض'!K4+'المدينه المنوره'!K4+'الشرقيه'!K4+'الحدود الشماليه'!K4+'تبوك'!K4+'الجوف'!K4+'حائل'!K4+'نجران'!K4+'القصيم'!K4+'الباحه'!K4+'عسير'!K4+'جازان'!K4+'جده'!K4+'الطائف'!K4+'العاصمه'!L4+'القريات'!K4</f>
        <v>6716</v>
      </c>
      <c r="L5" s="95">
        <f>'الرياض'!L4+'المدينه المنوره'!L4+'الشرقيه'!L4+'الحدود الشماليه'!L4+'تبوك'!L4+'الجوف'!L4+'حائل'!L4+'نجران'!L4+'القصيم'!L4+'الباحه'!L4+'عسير'!L4+'جازان'!L4+'جده'!L4+'الطائف'!L4+'العاصمه'!M4+'القريات'!L4</f>
        <v>5798</v>
      </c>
      <c r="M5" s="24">
        <f t="shared" si="14"/>
        <v>45443</v>
      </c>
      <c r="N5" s="95">
        <f>'الرياض'!N4+'المدينه المنوره'!N4+'الشرقيه'!N4+'الحدود الشماليه'!N4+'تبوك'!N4+'الجوف'!N4+'حائل'!N4+'نجران'!N4+'القصيم'!N4+'الباحه'!N4+'عسير'!N4+'جازان'!N4+'جده'!N4+'الطائف'!N4+'العاصمه'!O4+'القريات'!N4</f>
        <v>30058</v>
      </c>
      <c r="O5" s="95">
        <f>'الرياض'!O4+'المدينه المنوره'!O4+'الشرقيه'!O4+'الحدود الشماليه'!O4+'تبوك'!O4+'الجوف'!O4+'حائل'!O4+'نجران'!O4+'القصيم'!O4+'الباحه'!O4+'عسير'!O4+'جازان'!O4+'جده'!O4+'الطائف'!O4+'العاصمه'!P4+'القريات'!O4</f>
        <v>15385</v>
      </c>
      <c r="P5" s="24">
        <f t="shared" si="2"/>
        <v>45443</v>
      </c>
      <c r="Q5" s="95">
        <f>'الرياض'!Q4+'المدينه المنوره'!Q4+'الشرقيه'!Q4+'الحدود الشماليه'!Q4+'تبوك'!Q4+'الجوف'!Q4+'حائل'!Q4+'نجران'!Q4+'القصيم'!Q4+'الباحه'!Q4+'عسير'!Q4+'جازان'!Q4+'جده'!Q4+'الطائف'!Q4+'العاصمه'!R4+'القريات'!Q4</f>
        <v>35170</v>
      </c>
      <c r="R5" s="95">
        <f>'الرياض'!R4+'المدينه المنوره'!R4+'الشرقيه'!R4+'الحدود الشماليه'!R4+'تبوك'!R4+'الجوف'!R4+'حائل'!R4+'نجران'!R4+'القصيم'!R4+'الباحه'!R4+'عسير'!R4+'جازان'!R4+'جده'!R4+'الطائف'!R4+'العاصمه'!S4+'القريات'!R4</f>
        <v>10273</v>
      </c>
      <c r="S5" s="24">
        <f t="shared" si="3"/>
        <v>45443</v>
      </c>
      <c r="T5" s="95">
        <f>'الرياض'!T4+'المدينه المنوره'!T4+'الشرقيه'!T4+'الحدود الشماليه'!T4+'تبوك'!T4+'الجوف'!T4+'حائل'!T4+'نجران'!T4+'القصيم'!T4+'الباحه'!T4+'عسير'!T4+'جازان'!T4+'جده'!T4+'الطائف'!T4+'العاصمه'!U4+'القريات'!T4</f>
        <v>40358</v>
      </c>
      <c r="U5" s="95">
        <f>'الرياض'!U4+'المدينه المنوره'!U4+'الشرقيه'!U4+'الحدود الشماليه'!U4+'تبوك'!U4+'الجوف'!U4+'حائل'!U4+'نجران'!U4+'القصيم'!U4+'الباحه'!U4+'عسير'!U4+'جازان'!U4+'جده'!U4+'الطائف'!U4+'العاصمه'!V4+'القريات'!U4</f>
        <v>11719</v>
      </c>
      <c r="V5" s="95">
        <f>'الرياض'!V4+'المدينه المنوره'!V4+'الشرقيه'!V4+'الحدود الشماليه'!V4+'تبوك'!V4+'الجوف'!V4+'حائل'!V4+'نجران'!V4+'القصيم'!V4+'الباحه'!V4+'عسير'!V4+'جازان'!V4+'جده'!V4+'الطائف'!V4+'العاصمه'!W4+'القريات'!V4</f>
        <v>1413</v>
      </c>
      <c r="W5" s="95">
        <f>'الرياض'!W4+'المدينه المنوره'!W4+'الشرقيه'!W4+'الحدود الشماليه'!W4+'تبوك'!W4+'الجوف'!W4+'حائل'!W4+'نجران'!W4+'القصيم'!W4+'الباحه'!W4+'عسير'!W4+'جازان'!W4+'جده'!W4+'الطائف'!W4+'العاصمه'!X4+'القريات'!W4</f>
        <v>11399</v>
      </c>
      <c r="X5" s="95">
        <f>'الرياض'!X4+'المدينه المنوره'!X4+'الشرقيه'!X4+'الحدود الشماليه'!X4+'تبوك'!X4+'الجوف'!X4+'حائل'!X4+'نجران'!X4+'القصيم'!X4+'الباحه'!X4+'عسير'!X4+'جازان'!X4+'جده'!X4+'الطائف'!X4+'العاصمه'!Y4+'القريات'!X4</f>
        <v>6278</v>
      </c>
      <c r="Y5" s="95">
        <f>'الرياض'!Y4+'المدينه المنوره'!Y4+'الشرقيه'!Y4+'الحدود الشماليه'!Y4+'تبوك'!Y4+'الجوف'!Y4+'حائل'!Y4+'نجران'!Y4+'القصيم'!Y4+'الباحه'!Y4+'عسير'!Y4+'جازان'!Y4+'جده'!Y4+'الطائف'!Y4+'العاصمه'!Z4+'القريات'!Y4</f>
        <v>920</v>
      </c>
      <c r="Z5" s="95">
        <f>'الرياض'!Z4+'المدينه المنوره'!Z4+'الشرقيه'!Z4+'الحدود الشماليه'!Z4+'تبوك'!Z4+'الجوف'!Z4+'حائل'!Z4+'نجران'!Z4+'القصيم'!Z4+'الباحه'!Z4+'عسير'!Z4+'جازان'!Z4+'جده'!Z4+'الطائف'!Z4+'العاصمه'!AA4+'القريات'!Z4</f>
        <v>1373</v>
      </c>
      <c r="AA5" s="24">
        <f t="shared" si="4"/>
        <v>73460</v>
      </c>
      <c r="AB5" s="95">
        <f>'الرياض'!AB4+'المدينه المنوره'!AB4+'الشرقيه'!AB4+'الحدود الشماليه'!AB4+'تبوك'!AB4+'الجوف'!AB4+'حائل'!AB4+'نجران'!AB4+'القصيم'!AB4+'الباحه'!AB4+'عسير'!AB4+'جازان'!AB4+'جده'!AB4+'الطائف'!AB4+'العاصمه'!AC4+'القريات'!AB4</f>
        <v>10912</v>
      </c>
      <c r="AC5" s="95">
        <f>'الرياض'!AC4+'المدينه المنوره'!AC4+'الشرقيه'!AC4+'الحدود الشماليه'!AC4+'تبوك'!AC4+'الجوف'!AC4+'حائل'!AC4+'نجران'!AC4+'القصيم'!AC4+'الباحه'!AC4+'عسير'!AC4+'جازان'!AC4+'جده'!AC4+'الطائف'!AC4+'العاصمه'!AD4+'القريات'!AC4</f>
        <v>28434</v>
      </c>
      <c r="AD5" s="95">
        <f>'الرياض'!AD4+'المدينه المنوره'!AD4+'الشرقيه'!AD4+'الحدود الشماليه'!AD4+'تبوك'!AD4+'الجوف'!AD4+'حائل'!AD4+'نجران'!AD4+'القصيم'!AD4+'الباحه'!AD4+'عسير'!AD4+'جازان'!AD4+'جده'!AD4+'الطائف'!AD4+'العاصمه'!AE4+'القريات'!AD4</f>
        <v>20606</v>
      </c>
      <c r="AE5" s="95">
        <f>'الرياض'!AE4+'المدينه المنوره'!AE4+'الشرقيه'!AE4+'الحدود الشماليه'!AE4+'تبوك'!AE4+'الجوف'!AE4+'حائل'!AE4+'نجران'!AE4+'القصيم'!AE4+'الباحه'!AE4+'عسير'!AE4+'جازان'!AE4+'جده'!AE4+'الطائف'!AE4+'العاصمه'!AF4+'القريات'!AE4</f>
        <v>12807</v>
      </c>
      <c r="AF5" s="95">
        <f>'الرياض'!AF4+'المدينه المنوره'!AF4+'الشرقيه'!AF4+'الحدود الشماليه'!AF4+'تبوك'!AF4+'الجوف'!AF4+'حائل'!AF4+'نجران'!AF4+'القصيم'!AF4+'الباحه'!AF4+'عسير'!AF4+'جازان'!AF4+'جده'!AF4+'الطائف'!AF4+'العاصمه'!AG4+'القريات'!AF4</f>
        <v>7340</v>
      </c>
      <c r="AG5" s="24">
        <f t="shared" si="5"/>
        <v>80099</v>
      </c>
      <c r="AH5" s="95">
        <f>'الرياض'!AH4+'المدينه المنوره'!AH4+'الشرقيه'!AH4+'الحدود الشماليه'!AH4+'تبوك'!AH4+'الجوف'!AH4+'حائل'!AH4+'نجران'!AH4+'القصيم'!AH4+'الباحه'!AH4+'عسير'!AH4+'جازان'!AH4+'جده'!AH4+'الطائف'!AH4+'العاصمه'!AI4+'القريات'!AH4</f>
        <v>53782</v>
      </c>
      <c r="AI5" s="95">
        <f>'الرياض'!AI4+'المدينه المنوره'!AI4+'الشرقيه'!AI4+'الحدود الشماليه'!AI4+'تبوك'!AI4+'الجوف'!AI4+'حائل'!AI4+'نجران'!AI4+'القصيم'!AI4+'الباحه'!AI4+'عسير'!AI4+'جازان'!AI4+'جده'!AI4+'الطائف'!AI4+'العاصمه'!AJ4+'القريات'!AI4</f>
        <v>26317</v>
      </c>
      <c r="AJ5" s="24">
        <f t="shared" si="6"/>
        <v>80099</v>
      </c>
      <c r="AK5" s="95">
        <f>'الرياض'!AK4+'المدينه المنوره'!AK4+'الشرقيه'!AK4+'الحدود الشماليه'!AK4+'تبوك'!AK4+'الجوف'!AK4+'حائل'!AK4+'نجران'!AK4+'القصيم'!AK4+'الباحه'!AK4+'عسير'!AK4+'جازان'!AK4+'جده'!AK4+'الطائف'!AK4+'العاصمه'!AL4+'القريات'!AK4</f>
        <v>46364</v>
      </c>
      <c r="AL5" s="95">
        <f>'الرياض'!AL4+'المدينه المنوره'!AL4+'الشرقيه'!AL4+'الحدود الشماليه'!AL4+'تبوك'!AL4+'الجوف'!AL4+'حائل'!AL4+'نجران'!AL4+'القصيم'!AL4+'الباحه'!AL4+'عسير'!AL4+'جازان'!AL4+'جده'!AL4+'الطائف'!AL4+'العاصمه'!AM4+'القريات'!AL4</f>
        <v>33735</v>
      </c>
      <c r="AM5" s="24">
        <f t="shared" si="7"/>
        <v>80099</v>
      </c>
      <c r="AN5" s="95">
        <f>'الرياض'!AN4+'المدينه المنوره'!AN4+'الشرقيه'!AN4+'الحدود الشماليه'!AN4+'تبوك'!AN4+'الجوف'!AN4+'حائل'!AN4+'نجران'!AN4+'القصيم'!AN4+'الباحه'!AN4+'عسير'!AN4+'جازان'!AN4+'جده'!AN4+'الطائف'!AN4+'العاصمه'!AO4+'القريات'!AN4</f>
        <v>78877</v>
      </c>
      <c r="AO5" s="95">
        <f>'الرياض'!AO4+'المدينه المنوره'!AO4+'الشرقيه'!AO4+'الحدود الشماليه'!AO4+'تبوك'!AO4+'الجوف'!AO4+'حائل'!AO4+'نجران'!AO4+'القصيم'!AO4+'الباحه'!AO4+'عسير'!AO4+'جازان'!AO4+'جده'!AO4+'الطائف'!AO4+'العاصمه'!AP4+'القريات'!AO4</f>
        <v>1222</v>
      </c>
      <c r="AP5" s="24">
        <f t="shared" si="8"/>
        <v>80099</v>
      </c>
      <c r="AQ5" s="95">
        <f>'الرياض'!AQ4+'المدينه المنوره'!AQ4+'الشرقيه'!AQ4+'الحدود الشماليه'!AQ4+'تبوك'!AQ4+'الجوف'!AQ4+'حائل'!AQ4+'نجران'!AQ4+'القصيم'!AQ4+'الباحه'!AQ4+'عسير'!AQ4+'جازان'!AQ4+'جده'!AQ4+'الطائف'!AQ4+'العاصمه'!AR4+'القريات'!AQ4</f>
        <v>55420</v>
      </c>
      <c r="AR5" s="95">
        <f>'الرياض'!AR4+'المدينه المنوره'!AR4+'الشرقيه'!AR4+'الحدود الشماليه'!AR4+'تبوك'!AR4+'الجوف'!AR4+'حائل'!AR4+'نجران'!AR4+'القصيم'!AR4+'الباحه'!AR4+'عسير'!AR4+'جازان'!AR4+'جده'!AR4+'الطائف'!AR4+'العاصمه'!AS4+'القريات'!AR4</f>
        <v>14612</v>
      </c>
      <c r="AS5" s="95">
        <f>'الرياض'!AS4+'المدينه المنوره'!AS4+'الشرقيه'!AS4+'الحدود الشماليه'!AS4+'تبوك'!AS4+'الجوف'!AS4+'حائل'!AS4+'نجران'!AS4+'القصيم'!AS4+'الباحه'!AS4+'عسير'!AS4+'جازان'!AS4+'جده'!AS4+'الطائف'!AS4+'العاصمه'!AT4+'القريات'!AS4</f>
        <v>351</v>
      </c>
      <c r="AT5" s="95">
        <f>'الرياض'!AT4+'المدينه المنوره'!AT4+'الشرقيه'!AT4+'الحدود الشماليه'!AT4+'تبوك'!AT4+'الجوف'!AT4+'حائل'!AT4+'نجران'!AT4+'القصيم'!AT4+'الباحه'!AT4+'عسير'!AT4+'جازان'!AT4+'جده'!AT4+'الطائف'!AT4+'العاصمه'!AU4+'القريات'!AT4</f>
        <v>248</v>
      </c>
      <c r="AU5" s="95">
        <f>'الرياض'!AU4+'المدينه المنوره'!AU4+'الشرقيه'!AU4+'الحدود الشماليه'!AU4+'تبوك'!AU4+'الجوف'!AU4+'حائل'!AU4+'نجران'!AU4+'القصيم'!AU4+'الباحه'!AU4+'عسير'!AU4+'جازان'!AU4+'جده'!AU4+'الطائف'!AU4+'العاصمه'!AV4+'القريات'!AU4</f>
        <v>9468</v>
      </c>
      <c r="AV5" s="24">
        <f t="shared" si="15"/>
        <v>80099</v>
      </c>
      <c r="AW5" s="24">
        <f t="shared" si="9"/>
        <v>9468</v>
      </c>
      <c r="AX5" s="95">
        <f>'الرياض'!AX4+'المدينه المنوره'!AX4+'الشرقيه'!AX4+'الحدود الشماليه'!AX4+'تبوك'!AX4+'الجوف'!AX4+'حائل'!AX4+'نجران'!AX4+'القصيم'!AX4+'الباحه'!AX4+'عسير'!AX4+'جازان'!AX4+'جده'!AX4+'الطائف'!AX4+'العاصمه'!AY4+'القريات'!AX4</f>
        <v>59197</v>
      </c>
      <c r="AY5" s="95">
        <f>'الرياض'!AY4+'المدينه المنوره'!AY4+'الشرقيه'!AY4+'الحدود الشماليه'!AY4+'تبوك'!AY4+'الجوف'!AY4+'حائل'!AY4+'نجران'!AY4+'القصيم'!AY4+'الباحه'!AY4+'عسير'!AY4+'جازان'!AY4+'جده'!AY4+'الطائف'!AY4+'العاصمه'!AZ4+'القريات'!AY4</f>
        <v>11434</v>
      </c>
      <c r="AZ5" s="95">
        <f t="shared" si="10"/>
        <v>80099</v>
      </c>
      <c r="BA5" s="95">
        <f>'الرياض'!BA4+'المدينه المنوره'!BA4+'الشرقيه'!BA4+'الحدود الشماليه'!BA4+'تبوك'!BA4+'الجوف'!BA4+'حائل'!BA4+'نجران'!BA4+'القصيم'!BA4+'الباحه'!BA4+'عسير'!BA4+'جازان'!BA4+'جده'!BA4+'الطائف'!BA4+'العاصمه'!BB4+'القريات'!BA4</f>
        <v>30674</v>
      </c>
      <c r="BB5" s="95">
        <f>'الرياض'!BB4+'المدينه المنوره'!BB4+'الشرقيه'!BB4+'الحدود الشماليه'!BB4+'تبوك'!BB4+'الجوف'!BB4+'حائل'!BB4+'نجران'!BB4+'القصيم'!BB4+'الباحه'!BB4+'عسير'!BB4+'جازان'!BB4+'جده'!BB4+'الطائف'!BB4+'العاصمه'!BC4+'القريات'!$BB$4</f>
        <v>4722</v>
      </c>
      <c r="BC5" s="95">
        <f>'الرياض'!BC4+'المدينه المنوره'!BC4+'الشرقيه'!BC4+'الحدود الشماليه'!BC4+'تبوك'!BC4+'الجوف'!BC4+'حائل'!BC4+'نجران'!BC4+'القصيم'!BC4+'الباحه'!BC4+'عسير'!BC4+'جازان'!BC4+'جده'!BC4+'الطائف'!BC4+'العاصمه'!BD4+'القريات'!BC4</f>
        <v>837</v>
      </c>
      <c r="BD5" s="95">
        <f>'الرياض'!BD4+'المدينه المنوره'!BD4+'الشرقيه'!BD4+'الحدود الشماليه'!BD4+'تبوك'!BD4+'الجوف'!BD4+'حائل'!BD4+'نجران'!BD4+'القصيم'!BD4+'الباحه'!BD4+'عسير'!BD4+'جازان'!BD4+'جده'!BD4+'الطائف'!BD4+'العاصمه'!BE4+'القريات'!BD4</f>
        <v>84</v>
      </c>
      <c r="BE5" s="95">
        <f>'الرياض'!BE4+'المدينه المنوره'!BE4+'الشرقيه'!BE4+'الحدود الشماليه'!BE4+'تبوك'!BE4+'الجوف'!BE4+'حائل'!BE4+'نجران'!BE4+'القصيم'!BE4+'الباحه'!BE4+'عسير'!BE4+'جازان'!BE4+'جده'!BE4+'الطائف'!BE4+'العاصمه'!BF4+'القريات'!BE4</f>
        <v>89</v>
      </c>
      <c r="BF5" s="95">
        <f>'الرياض'!BF4+'المدينه المنوره'!BF4+'الشرقيه'!BF4+'الحدود الشماليه'!BF4+'تبوك'!BF4+'الجوف'!BF4+'حائل'!BF4+'نجران'!BF4+'القصيم'!BF4+'الباحه'!BF4+'عسير'!BF4+'جازان'!BF4+'جده'!BF4+'الطائف'!BF4+'العاصمه'!BG4+'القريات'!BF4</f>
        <v>3156</v>
      </c>
      <c r="BG5" s="95">
        <f>'الرياض'!BG4+'المدينه المنوره'!BG4+'الشرقيه'!BG4+'الحدود الشماليه'!BG4+'تبوك'!BG4+'الجوف'!BG4+'حائل'!BG4+'نجران'!BG4+'القصيم'!BG4+'الباحه'!BG4+'عسير'!BG4+'جازان'!BG4+'جده'!BG4+'الطائف'!BG4+'العاصمه'!BH4+'القريات'!BG4</f>
        <v>3734</v>
      </c>
      <c r="BH5" s="95">
        <f>'الرياض'!BH4+'المدينه المنوره'!BH4+'الشرقيه'!BH4+'الحدود الشماليه'!BH4+'تبوك'!BH4+'الجوف'!BH4+'حائل'!BH4+'نجران'!BH4+'القصيم'!BH4+'الباحه'!BH4+'عسير'!BH4+'جازان'!BH4+'جده'!BH4+'الطائف'!BH4+'العاصمه'!BI4+'القريات'!BH4</f>
        <v>2147</v>
      </c>
      <c r="BI5" s="95">
        <f t="shared" si="11"/>
        <v>45443</v>
      </c>
      <c r="BJ5" s="95">
        <f>'الرياض'!BJ4+'المدينه المنوره'!BJ4+'الشرقيه'!BJ4+'الحدود الشماليه'!BJ4+'تبوك'!BJ4+'الجوف'!BJ4+'حائل'!BJ4+'نجران'!BJ4+'القصيم'!BJ4+'الباحه'!BJ4+'عسير'!BJ4+'جازان'!BJ4+'جده'!BJ4+'الطائف'!BJ4+'العاصمه'!BK4+'القريات'!BJ4</f>
        <v>3559</v>
      </c>
      <c r="BK5" s="95">
        <f>'الرياض'!BK4+'المدينه المنوره'!BK4+'الشرقيه'!BK4+'الحدود الشماليه'!BK4+'تبوك'!BK4+'الجوف'!BK4+'حائل'!BK4+'نجران'!BK4+'القصيم'!BK4+'الباحه'!BK4+'عسير'!BK4+'جازان'!BK4+'جده'!BK4+'الطائف'!BK4+'العاصمه'!BL4+'القريات'!BK4</f>
        <v>4135</v>
      </c>
      <c r="BL5" s="95">
        <f>'الرياض'!BL4+'المدينه المنوره'!BL4+'الشرقيه'!BL4+'الحدود الشماليه'!BL4+'تبوك'!BL4+'الجوف'!BL4+'حائل'!BL4+'نجران'!BL4+'القصيم'!BL4+'الباحه'!BL4+'عسير'!BL4+'جازان'!BL4+'جده'!BL4+'الطائف'!BL4+'العاصمه'!BM4+'القريات'!BL4</f>
        <v>3887</v>
      </c>
      <c r="BM5" s="95">
        <f>'الرياض'!BM4+'المدينه المنوره'!BM4+'الشرقيه'!BM4+'الحدود الشماليه'!BM4+'تبوك'!BM4+'الجوف'!BM4+'حائل'!BM4+'نجران'!BM4+'القصيم'!BM4+'الباحه'!BM4+'عسير'!BM4+'جازان'!BM4+'جده'!BM4+'الطائف'!BM4+'العاصمه'!BN4+'القريات'!BM4</f>
        <v>5898</v>
      </c>
      <c r="BN5" s="95">
        <f>'الرياض'!BN4+'المدينه المنوره'!BN4+'الشرقيه'!BN4+'الحدود الشماليه'!BN4+'تبوك'!BN4+'الجوف'!BN4+'حائل'!BN4+'نجران'!BN4+'القصيم'!BN4+'الباحه'!BN4+'عسير'!BN4+'جازان'!BN4+'جده'!BN4+'الطائف'!BN4+'العاصمه'!BO4+'القريات'!BN4</f>
        <v>13367</v>
      </c>
      <c r="BO5" s="95">
        <f>'الرياض'!BO4+'المدينه المنوره'!BO4+'الشرقيه'!BO4+'الحدود الشماليه'!BO4+'تبوك'!BO4+'الجوف'!BO4+'حائل'!BO4+'نجران'!BO4+'القصيم'!BO4+'الباحه'!BO4+'عسير'!BO4+'جازان'!BO4+'جده'!BO4+'الطائف'!BO4+'العاصمه'!BP4+'القريات'!BO4</f>
        <v>11</v>
      </c>
      <c r="BP5" s="95">
        <f>'الرياض'!BP4+'المدينه المنوره'!BP4+'الشرقيه'!BP4+'الحدود الشماليه'!BP4+'تبوك'!BP4+'الجوف'!BP4+'حائل'!BP4+'نجران'!BP4+'القصيم'!BP4+'الباحه'!BP4+'عسير'!BP4+'جازان'!BP4+'جده'!BP4+'الطائف'!BP4+'العاصمه'!BQ4+'القريات'!BP4</f>
        <v>14586</v>
      </c>
      <c r="BQ5" s="24">
        <f t="shared" si="12"/>
        <v>45443</v>
      </c>
      <c r="BR5" s="96">
        <f>'الرياض'!BR4+'المدينه المنوره'!BR4+'الشرقيه'!BR4+'الحدود الشماليه'!BR4+'تبوك'!BR4+'الجوف'!BR4+'حائل'!BR4+'نجران'!BR4+'القصيم'!BR4+'الباحه'!BR4+'عسير'!BR4+'جازان'!BR4+'جده'!BR4+'الطائف'!BR4+'العاصمه'!BS4+'القريات'!BR4</f>
        <v>3261</v>
      </c>
      <c r="BS5" s="96">
        <f>'الرياض'!BS4+'المدينه المنوره'!BS4+'الشرقيه'!BS4+'الحدود الشماليه'!BS4+'تبوك'!BS4+'الجوف'!BS4+'حائل'!BS4+'نجران'!BS4+'القصيم'!BS4+'الباحه'!BS4+'عسير'!BS4+'جازان'!BS4+'جده'!BS4+'الطائف'!BS4+'العاصمه'!BT4+'القريات'!BS4</f>
        <v>725</v>
      </c>
      <c r="BT5" s="97">
        <f>'الرياض'!BT4+'المدينه المنوره'!BT4+'الشرقيه'!BT4+'الحدود الشماليه'!BT4+'تبوك'!BT4+'الجوف'!BT4+'حائل'!BT4+'نجران'!BT4+'القصيم'!BT4+'الباحه'!BT4+'عسير'!BT4+'جازان'!BT4+'جده'!BT4+'الطائف'!BT4+'العاصمه'!BU4+'القريات'!BT4</f>
        <v>75847</v>
      </c>
      <c r="BU5" s="98">
        <f t="shared" si="13"/>
        <v>79833</v>
      </c>
    </row>
    <row r="6" ht="24.0" customHeight="1">
      <c r="A6" s="24" t="s">
        <v>72</v>
      </c>
      <c r="B6" s="97">
        <f>'الرياض'!B5+'المدينه المنوره'!B5+'الشرقيه'!B5+'الحدود الشماليه'!B5+'تبوك'!B5+'الجوف'!B5+'حائل'!B5+'نجران'!B5+'القصيم'!B5+'الباحه'!B5+'عسير'!B5+'جازان'!B5+'جده'!B5+'الطائف'!B5+'العاصمه'!C5+'القريات'!B5</f>
        <v>43722</v>
      </c>
      <c r="C6" s="97">
        <f>'الرياض'!C5+'المدينه المنوره'!C5+'الشرقيه'!C5+'الحدود الشماليه'!C5+'تبوك'!C5+'الجوف'!C5+'حائل'!C5+'نجران'!C5+'القصيم'!C5+'الباحه'!C5+'عسير'!C5+'جازان'!C5+'جده'!C5+'الطائف'!C5+'العاصمه'!D5+'القريات'!C5</f>
        <v>2022</v>
      </c>
      <c r="D6" s="97">
        <f>'الرياض'!D5+'المدينه المنوره'!D5+'الشرقيه'!D5+'الحدود الشماليه'!D5+'تبوك'!D5+'الجوف'!D5+'حائل'!D5+'نجران'!D5+'القصيم'!D5+'الباحه'!D5+'عسير'!D5+'جازان'!D5+'جده'!D5+'الطائف'!D5+'العاصمه'!E5+'القريات'!D5</f>
        <v>581</v>
      </c>
      <c r="E6" s="99">
        <f t="shared" si="1"/>
        <v>46325</v>
      </c>
      <c r="F6" s="95">
        <f>'الرياض'!F5+'المدينه المنوره'!F5+'الشرقيه'!F5+'الحدود الشماليه'!F5+'تبوك'!F5+'الجوف'!F5+'حائل'!F5+'نجران'!F5+'القصيم'!F5+'الباحه'!F5+'عسير'!F5+'جازان'!F5+'جده'!F5+'الطائف'!F5+'العاصمه'!G5+'القريات'!F5</f>
        <v>6772</v>
      </c>
      <c r="G6" s="95">
        <f>'الرياض'!G5+'المدينه المنوره'!G5+'الشرقيه'!G5+'الحدود الشماليه'!G5+'تبوك'!G5+'الجوف'!G5+'حائل'!G5+'نجران'!G5+'القصيم'!G5+'الباحه'!G5+'عسير'!G5+'جازان'!G5+'جده'!G5+'الطائف'!G5+'العاصمه'!H5+'القريات'!G5</f>
        <v>7296</v>
      </c>
      <c r="H6" s="95">
        <f>'الرياض'!H5+'المدينه المنوره'!H5+'الشرقيه'!H5+'الحدود الشماليه'!H5+'تبوك'!H5+'الجوف'!H5+'حائل'!H5+'نجران'!H5+'القصيم'!H5+'الباحه'!H5+'عسير'!H5+'جازان'!H5+'جده'!H5+'الطائف'!H5+'العاصمه'!I5+'القريات'!H5</f>
        <v>6465</v>
      </c>
      <c r="I6" s="95">
        <f>'الرياض'!I5+'المدينه المنوره'!I5+'الشرقيه'!I5+'الحدود الشماليه'!I5+'تبوك'!I5+'الجوف'!I5+'حائل'!I5+'نجران'!I5+'القصيم'!I5+'الباحه'!I5+'عسير'!I5+'جازان'!I5+'جده'!I5+'الطائف'!I5+'العاصمه'!J5+'القريات'!I5</f>
        <v>6511</v>
      </c>
      <c r="J6" s="95">
        <f>'الرياض'!J5+'المدينه المنوره'!J5+'الشرقيه'!J5+'الحدود الشماليه'!J5+'تبوك'!J5+'الجوف'!J5+'حائل'!J5+'نجران'!J5+'القصيم'!J5+'الباحه'!J5+'عسير'!J5+'جازان'!J5+'جده'!J5+'الطائف'!J5+'العاصمه'!K5+'القريات'!J5</f>
        <v>6199</v>
      </c>
      <c r="K6" s="95">
        <f>'الرياض'!K5+'المدينه المنوره'!K5+'الشرقيه'!K5+'الحدود الشماليه'!K5+'تبوك'!K5+'الجوف'!K5+'حائل'!K5+'نجران'!K5+'القصيم'!K5+'الباحه'!K5+'عسير'!K5+'جازان'!K5+'جده'!K5+'الطائف'!K5+'العاصمه'!L5+'القريات'!K5</f>
        <v>6697</v>
      </c>
      <c r="L6" s="95">
        <f>'الرياض'!L5+'المدينه المنوره'!L5+'الشرقيه'!L5+'الحدود الشماليه'!L5+'تبوك'!L5+'الجوف'!L5+'حائل'!L5+'نجران'!L5+'القصيم'!L5+'الباحه'!L5+'عسير'!L5+'جازان'!L5+'جده'!L5+'الطائف'!L5+'العاصمه'!M5+'القريات'!L5</f>
        <v>6385</v>
      </c>
      <c r="M6" s="24">
        <f t="shared" si="14"/>
        <v>46325</v>
      </c>
      <c r="N6" s="95">
        <f>'الرياض'!N5+'المدينه المنوره'!N5+'الشرقيه'!N5+'الحدود الشماليه'!N5+'تبوك'!N5+'الجوف'!N5+'حائل'!N5+'نجران'!N5+'القصيم'!N5+'الباحه'!N5+'عسير'!N5+'جازان'!N5+'جده'!N5+'الطائف'!N5+'العاصمه'!O5+'القريات'!N5</f>
        <v>31201</v>
      </c>
      <c r="O6" s="95">
        <f>'الرياض'!O5+'المدينه المنوره'!O5+'الشرقيه'!O5+'الحدود الشماليه'!O5+'تبوك'!O5+'الجوف'!O5+'حائل'!O5+'نجران'!O5+'القصيم'!O5+'الباحه'!O5+'عسير'!O5+'جازان'!O5+'جده'!O5+'الطائف'!O5+'العاصمه'!P5+'القريات'!O5</f>
        <v>15124</v>
      </c>
      <c r="P6" s="24">
        <f t="shared" si="2"/>
        <v>46325</v>
      </c>
      <c r="Q6" s="95">
        <f>'الرياض'!Q5+'المدينه المنوره'!Q5+'الشرقيه'!Q5+'الحدود الشماليه'!Q5+'تبوك'!Q5+'الجوف'!Q5+'حائل'!Q5+'نجران'!Q5+'القصيم'!Q5+'الباحه'!Q5+'عسير'!Q5+'جازان'!Q5+'جده'!Q5+'الطائف'!Q5+'العاصمه'!R5+'القريات'!Q5</f>
        <v>35521</v>
      </c>
      <c r="R6" s="95">
        <f>'الرياض'!R5+'المدينه المنوره'!R5+'الشرقيه'!R5+'الحدود الشماليه'!R5+'تبوك'!R5+'الجوف'!R5+'حائل'!R5+'نجران'!R5+'القصيم'!R5+'الباحه'!R5+'عسير'!R5+'جازان'!R5+'جده'!R5+'الطائف'!R5+'العاصمه'!S5+'القريات'!R5</f>
        <v>10804</v>
      </c>
      <c r="S6" s="24">
        <f t="shared" si="3"/>
        <v>46325</v>
      </c>
      <c r="T6" s="95">
        <f>'الرياض'!T5+'المدينه المنوره'!T5+'الشرقيه'!T5+'الحدود الشماليه'!T5+'تبوك'!T5+'الجوف'!T5+'حائل'!T5+'نجران'!T5+'القصيم'!T5+'الباحه'!T5+'عسير'!T5+'جازان'!T5+'جده'!T5+'الطائف'!T5+'العاصمه'!U5+'القريات'!T5</f>
        <v>35167</v>
      </c>
      <c r="U6" s="95">
        <f>'الرياض'!U5+'المدينه المنوره'!U5+'الشرقيه'!U5+'الحدود الشماليه'!U5+'تبوك'!U5+'الجوف'!U5+'حائل'!U5+'نجران'!U5+'القصيم'!U5+'الباحه'!U5+'عسير'!U5+'جازان'!U5+'جده'!U5+'الطائف'!U5+'العاصمه'!V5+'القريات'!U5</f>
        <v>12715</v>
      </c>
      <c r="V6" s="95">
        <f>'الرياض'!V5+'المدينه المنوره'!V5+'الشرقيه'!V5+'الحدود الشماليه'!V5+'تبوك'!V5+'الجوف'!V5+'حائل'!V5+'نجران'!V5+'القصيم'!V5+'الباحه'!V5+'عسير'!V5+'جازان'!V5+'جده'!V5+'الطائف'!V5+'العاصمه'!W5+'القريات'!V5</f>
        <v>1381</v>
      </c>
      <c r="W6" s="95">
        <f>'الرياض'!W5+'المدينه المنوره'!W5+'الشرقيه'!W5+'الحدود الشماليه'!W5+'تبوك'!W5+'الجوف'!W5+'حائل'!W5+'نجران'!W5+'القصيم'!W5+'الباحه'!W5+'عسير'!W5+'جازان'!W5+'جده'!W5+'الطائف'!W5+'العاصمه'!X5+'القريات'!W5</f>
        <v>11907</v>
      </c>
      <c r="X6" s="95">
        <f>'الرياض'!X5+'المدينه المنوره'!X5+'الشرقيه'!X5+'الحدود الشماليه'!X5+'تبوك'!X5+'الجوف'!X5+'حائل'!X5+'نجران'!X5+'القصيم'!X5+'الباحه'!X5+'عسير'!X5+'جازان'!X5+'جده'!X5+'الطائف'!X5+'العاصمه'!Y5+'القريات'!X5</f>
        <v>6421</v>
      </c>
      <c r="Y6" s="95">
        <f>'الرياض'!Y5+'المدينه المنوره'!Y5+'الشرقيه'!Y5+'الحدود الشماليه'!Y5+'تبوك'!Y5+'الجوف'!Y5+'حائل'!Y5+'نجران'!Y5+'القصيم'!Y5+'الباحه'!Y5+'عسير'!Y5+'جازان'!Y5+'جده'!Y5+'الطائف'!Y5+'العاصمه'!Z5+'القريات'!Y5</f>
        <v>855</v>
      </c>
      <c r="Z6" s="95">
        <f>'الرياض'!Z5+'المدينه المنوره'!Z5+'الشرقيه'!Z5+'الحدود الشماليه'!Z5+'تبوك'!Z5+'الجوف'!Z5+'حائل'!Z5+'نجران'!Z5+'القصيم'!Z5+'الباحه'!Z5+'عسير'!Z5+'جازان'!Z5+'جده'!Z5+'الطائف'!Z5+'العاصمه'!AA5+'القريات'!Z5</f>
        <v>2276</v>
      </c>
      <c r="AA6" s="24">
        <f t="shared" si="4"/>
        <v>70722</v>
      </c>
      <c r="AB6" s="95">
        <f>'الرياض'!AB5+'المدينه المنوره'!AB5+'الشرقيه'!AB5+'الحدود الشماليه'!AB5+'تبوك'!AB5+'الجوف'!AB5+'حائل'!AB5+'نجران'!AB5+'القصيم'!AB5+'الباحه'!AB5+'عسير'!AB5+'جازان'!AB5+'جده'!AB5+'الطائف'!AB5+'العاصمه'!AC5+'القريات'!AB5</f>
        <v>9965</v>
      </c>
      <c r="AC6" s="95">
        <f>'الرياض'!AC5+'المدينه المنوره'!AC5+'الشرقيه'!AC5+'الحدود الشماليه'!AC5+'تبوك'!AC5+'الجوف'!AC5+'حائل'!AC5+'نجران'!AC5+'القصيم'!AC5+'الباحه'!AC5+'عسير'!AC5+'جازان'!AC5+'جده'!AC5+'الطائف'!AC5+'العاصمه'!AD5+'القريات'!AC5</f>
        <v>27226</v>
      </c>
      <c r="AD6" s="95">
        <f>'الرياض'!AD5+'المدينه المنوره'!AD5+'الشرقيه'!AD5+'الحدود الشماليه'!AD5+'تبوك'!AD5+'الجوف'!AD5+'حائل'!AD5+'نجران'!AD5+'القصيم'!AD5+'الباحه'!AD5+'عسير'!AD5+'جازان'!AD5+'جده'!AD5+'الطائف'!AD5+'العاصمه'!AE5+'القريات'!AD5</f>
        <v>20664</v>
      </c>
      <c r="AE6" s="95">
        <f>'الرياض'!AE5+'المدينه المنوره'!AE5+'الشرقيه'!AE5+'الحدود الشماليه'!AE5+'تبوك'!AE5+'الجوف'!AE5+'حائل'!AE5+'نجران'!AE5+'القصيم'!AE5+'الباحه'!AE5+'عسير'!AE5+'جازان'!AE5+'جده'!AE5+'الطائف'!AE5+'العاصمه'!AF5+'القريات'!AE5</f>
        <v>12300</v>
      </c>
      <c r="AF6" s="95">
        <f>'الرياض'!AF5+'المدينه المنوره'!AF5+'الشرقيه'!AF5+'الحدود الشماليه'!AF5+'تبوك'!AF5+'الجوف'!AF5+'حائل'!AF5+'نجران'!AF5+'القصيم'!AF5+'الباحه'!AF5+'عسير'!AF5+'جازان'!AF5+'جده'!AF5+'الطائف'!AF5+'العاصمه'!AG5+'القريات'!AF5</f>
        <v>6639</v>
      </c>
      <c r="AG6" s="24">
        <f t="shared" si="5"/>
        <v>76794</v>
      </c>
      <c r="AH6" s="95">
        <f>'الرياض'!AH5+'المدينه المنوره'!AH5+'الشرقيه'!AH5+'الحدود الشماليه'!AH5+'تبوك'!AH5+'الجوف'!AH5+'حائل'!AH5+'نجران'!AH5+'القصيم'!AH5+'الباحه'!AH5+'عسير'!AH5+'جازان'!AH5+'جده'!AH5+'الطائف'!AH5+'العاصمه'!AI5+'القريات'!AH5</f>
        <v>48731</v>
      </c>
      <c r="AI6" s="95">
        <f>'الرياض'!AI5+'المدينه المنوره'!AI5+'الشرقيه'!AI5+'الحدود الشماليه'!AI5+'تبوك'!AI5+'الجوف'!AI5+'حائل'!AI5+'نجران'!AI5+'القصيم'!AI5+'الباحه'!AI5+'عسير'!AI5+'جازان'!AI5+'جده'!AI5+'الطائف'!AI5+'العاصمه'!AJ5+'القريات'!AI5</f>
        <v>28063</v>
      </c>
      <c r="AJ6" s="24">
        <f t="shared" si="6"/>
        <v>76794</v>
      </c>
      <c r="AK6" s="95">
        <f>'الرياض'!AK5+'المدينه المنوره'!AK5+'الشرقيه'!AK5+'الحدود الشماليه'!AK5+'تبوك'!AK5+'الجوف'!AK5+'حائل'!AK5+'نجران'!AK5+'القصيم'!AK5+'الباحه'!AK5+'عسير'!AK5+'جازان'!AK5+'جده'!AK5+'الطائف'!AK5+'العاصمه'!AL5+'القريات'!AK5</f>
        <v>44412</v>
      </c>
      <c r="AL6" s="95">
        <f>'الرياض'!AL5+'المدينه المنوره'!AL5+'الشرقيه'!AL5+'الحدود الشماليه'!AL5+'تبوك'!AL5+'الجوف'!AL5+'حائل'!AL5+'نجران'!AL5+'القصيم'!AL5+'الباحه'!AL5+'عسير'!AL5+'جازان'!AL5+'جده'!AL5+'الطائف'!AL5+'العاصمه'!AM5+'القريات'!AL5</f>
        <v>32382</v>
      </c>
      <c r="AM6" s="24">
        <f t="shared" si="7"/>
        <v>76794</v>
      </c>
      <c r="AN6" s="95">
        <f>'الرياض'!AN5+'المدينه المنوره'!AN5+'الشرقيه'!AN5+'الحدود الشماليه'!AN5+'تبوك'!AN5+'الجوف'!AN5+'حائل'!AN5+'نجران'!AN5+'القصيم'!AN5+'الباحه'!AN5+'عسير'!AN5+'جازان'!AN5+'جده'!AN5+'الطائف'!AN5+'العاصمه'!AO5+'القريات'!AN5</f>
        <v>75227</v>
      </c>
      <c r="AO6" s="95">
        <f>'الرياض'!AO5+'المدينه المنوره'!AO5+'الشرقيه'!AO5+'الحدود الشماليه'!AO5+'تبوك'!AO5+'الجوف'!AO5+'حائل'!AO5+'نجران'!AO5+'القصيم'!AO5+'الباحه'!AO5+'عسير'!AO5+'جازان'!AO5+'جده'!AO5+'الطائف'!AO5+'العاصمه'!AP5+'القريات'!AO5</f>
        <v>1567</v>
      </c>
      <c r="AP6" s="24">
        <f t="shared" si="8"/>
        <v>76794</v>
      </c>
      <c r="AQ6" s="95">
        <f>'الرياض'!AQ5+'المدينه المنوره'!AQ5+'الشرقيه'!AQ5+'الحدود الشماليه'!AQ5+'تبوك'!AQ5+'الجوف'!AQ5+'حائل'!AQ5+'نجران'!AQ5+'القصيم'!AQ5+'الباحه'!AQ5+'عسير'!AQ5+'جازان'!AQ5+'جده'!AQ5+'الطائف'!AQ5+'العاصمه'!AR5+'القريات'!AQ5</f>
        <v>52069</v>
      </c>
      <c r="AR6" s="95">
        <f>'الرياض'!AR5+'المدينه المنوره'!AR5+'الشرقيه'!AR5+'الحدود الشماليه'!AR5+'تبوك'!AR5+'الجوف'!AR5+'حائل'!AR5+'نجران'!AR5+'القصيم'!AR5+'الباحه'!AR5+'عسير'!AR5+'جازان'!AR5+'جده'!AR5+'الطائف'!AR5+'العاصمه'!AS5+'القريات'!AR5</f>
        <v>15874</v>
      </c>
      <c r="AS6" s="95">
        <f>'الرياض'!AS5+'المدينه المنوره'!AS5+'الشرقيه'!AS5+'الحدود الشماليه'!AS5+'تبوك'!AS5+'الجوف'!AS5+'حائل'!AS5+'نجران'!AS5+'القصيم'!AS5+'الباحه'!AS5+'عسير'!AS5+'جازان'!AS5+'جده'!AS5+'الطائف'!AS5+'العاصمه'!AT5+'القريات'!AS5</f>
        <v>292</v>
      </c>
      <c r="AT6" s="95">
        <f>'الرياض'!AT5+'المدينه المنوره'!AT5+'الشرقيه'!AT5+'الحدود الشماليه'!AT5+'تبوك'!AT5+'الجوف'!AT5+'حائل'!AT5+'نجران'!AT5+'القصيم'!AT5+'الباحه'!AT5+'عسير'!AT5+'جازان'!AT5+'جده'!AT5+'الطائف'!AT5+'العاصمه'!AU5+'القريات'!AT5</f>
        <v>143</v>
      </c>
      <c r="AU6" s="95">
        <f>'الرياض'!AU5+'المدينه المنوره'!AU5+'الشرقيه'!AU5+'الحدود الشماليه'!AU5+'تبوك'!AU5+'الجوف'!AU5+'حائل'!AU5+'نجران'!AU5+'القصيم'!AU5+'الباحه'!AU5+'عسير'!AU5+'جازان'!AU5+'جده'!AU5+'الطائف'!AU5+'العاصمه'!AV5+'القريات'!AU5</f>
        <v>8416</v>
      </c>
      <c r="AV6" s="24">
        <f t="shared" si="15"/>
        <v>76794</v>
      </c>
      <c r="AW6" s="24">
        <f t="shared" si="9"/>
        <v>8416</v>
      </c>
      <c r="AX6" s="95">
        <f>'الرياض'!AX5+'المدينه المنوره'!AX5+'الشرقيه'!AX5+'الحدود الشماليه'!AX5+'تبوك'!AX5+'الجوف'!AX5+'حائل'!AX5+'نجران'!AX5+'القصيم'!AX5+'الباحه'!AX5+'عسير'!AX5+'جازان'!AX5+'جده'!AX5+'الطائف'!AX5+'العاصمه'!AY5+'القريات'!AX5</f>
        <v>61403</v>
      </c>
      <c r="AY6" s="95">
        <f>'الرياض'!AY5+'المدينه المنوره'!AY5+'الشرقيه'!AY5+'الحدود الشماليه'!AY5+'تبوك'!AY5+'الجوف'!AY5+'حائل'!AY5+'نجران'!AY5+'القصيم'!AY5+'الباحه'!AY5+'عسير'!AY5+'جازان'!AY5+'جده'!AY5+'الطائف'!AY5+'العاصمه'!AZ5+'القريات'!AY5</f>
        <v>6975</v>
      </c>
      <c r="AZ6" s="95">
        <f t="shared" si="10"/>
        <v>76794</v>
      </c>
      <c r="BA6" s="95">
        <f>'الرياض'!BA5+'المدينه المنوره'!BA5+'الشرقيه'!BA5+'الحدود الشماليه'!BA5+'تبوك'!BA5+'الجوف'!BA5+'حائل'!BA5+'نجران'!BA5+'القصيم'!BA5+'الباحه'!BA5+'عسير'!BA5+'جازان'!BA5+'جده'!BA5+'الطائف'!BA5+'العاصمه'!BB5+'القريات'!BA5</f>
        <v>31117</v>
      </c>
      <c r="BB6" s="95">
        <f>'الرياض'!BB5+'المدينه المنوره'!BB5+'الشرقيه'!BB5+'الحدود الشماليه'!BB5+'تبوك'!BB5+'الجوف'!BB5+'حائل'!BB5+'نجران'!BB5+'القصيم'!BB5+'الباحه'!BB5+'عسير'!BB5+'جازان'!BB5+'جده'!BB5+'الطائف'!BB5+'العاصمه'!BC5+'القريات'!$BB5</f>
        <v>4578</v>
      </c>
      <c r="BC6" s="95">
        <f>'الرياض'!BC5+'المدينه المنوره'!BC5+'الشرقيه'!BC5+'الحدود الشماليه'!BC5+'تبوك'!BC5+'الجوف'!BC5+'حائل'!BC5+'نجران'!BC5+'القصيم'!BC5+'الباحه'!BC5+'عسير'!BC5+'جازان'!BC5+'جده'!BC5+'الطائف'!BC5+'العاصمه'!BD5+'القريات'!BC5</f>
        <v>843</v>
      </c>
      <c r="BD6" s="95">
        <f>'الرياض'!BD5+'المدينه المنوره'!BD5+'الشرقيه'!BD5+'الحدود الشماليه'!BD5+'تبوك'!BD5+'الجوف'!BD5+'حائل'!BD5+'نجران'!BD5+'القصيم'!BD5+'الباحه'!BD5+'عسير'!BD5+'جازان'!BD5+'جده'!BD5+'الطائف'!BD5+'العاصمه'!BE5+'القريات'!BD5</f>
        <v>38</v>
      </c>
      <c r="BE6" s="95">
        <f>'الرياض'!BE5+'المدينه المنوره'!BE5+'الشرقيه'!BE5+'الحدود الشماليه'!BE5+'تبوك'!BE5+'الجوف'!BE5+'حائل'!BE5+'نجران'!BE5+'القصيم'!BE5+'الباحه'!BE5+'عسير'!BE5+'جازان'!BE5+'جده'!BE5+'الطائف'!BE5+'العاصمه'!BF5+'القريات'!BE5</f>
        <v>71</v>
      </c>
      <c r="BF6" s="95">
        <f>'الرياض'!BF5+'المدينه المنوره'!BF5+'الشرقيه'!BF5+'الحدود الشماليه'!BF5+'تبوك'!BF5+'الجوف'!BF5+'حائل'!BF5+'نجران'!BF5+'القصيم'!BF5+'الباحه'!BF5+'عسير'!BF5+'جازان'!BF5+'جده'!BF5+'الطائف'!BF5+'العاصمه'!BG5+'القريات'!BF5</f>
        <v>3373</v>
      </c>
      <c r="BG6" s="95">
        <f>'الرياض'!BG5+'المدينه المنوره'!BG5+'الشرقيه'!BG5+'الحدود الشماليه'!BG5+'تبوك'!BG5+'الجوف'!BG5+'حائل'!BG5+'نجران'!BG5+'القصيم'!BG5+'الباحه'!BG5+'عسير'!BG5+'جازان'!BG5+'جده'!BG5+'الطائف'!BG5+'العاصمه'!BH5+'القريات'!BG5</f>
        <v>3490</v>
      </c>
      <c r="BH6" s="95">
        <f>'الرياض'!BH5+'المدينه المنوره'!BH5+'الشرقيه'!BH5+'الحدود الشماليه'!BH5+'تبوك'!BH5+'الجوف'!BH5+'حائل'!BH5+'نجران'!BH5+'القصيم'!BH5+'الباحه'!BH5+'عسير'!BH5+'جازان'!BH5+'جده'!BH5+'الطائف'!BH5+'العاصمه'!BI5+'القريات'!BH5</f>
        <v>2815</v>
      </c>
      <c r="BI6" s="95">
        <f t="shared" si="11"/>
        <v>46325</v>
      </c>
      <c r="BJ6" s="95">
        <f>'الرياض'!BJ5+'المدينه المنوره'!BJ5+'الشرقيه'!BJ5+'الحدود الشماليه'!BJ5+'تبوك'!BJ5+'الجوف'!BJ5+'حائل'!BJ5+'نجران'!BJ5+'القصيم'!BJ5+'الباحه'!BJ5+'عسير'!BJ5+'جازان'!BJ5+'جده'!BJ5+'الطائف'!BJ5+'العاصمه'!BK5+'القريات'!BJ5</f>
        <v>4427</v>
      </c>
      <c r="BK6" s="95">
        <f>'الرياض'!BK5+'المدينه المنوره'!BK5+'الشرقيه'!BK5+'الحدود الشماليه'!BK5+'تبوك'!BK5+'الجوف'!BK5+'حائل'!BK5+'نجران'!BK5+'القصيم'!BK5+'الباحه'!BK5+'عسير'!BK5+'جازان'!BK5+'جده'!BK5+'الطائف'!BK5+'العاصمه'!BL5+'القريات'!BK5</f>
        <v>4284</v>
      </c>
      <c r="BL6" s="95">
        <f>'الرياض'!BL5+'المدينه المنوره'!BL5+'الشرقيه'!BL5+'الحدود الشماليه'!BL5+'تبوك'!BL5+'الجوف'!BL5+'حائل'!BL5+'نجران'!BL5+'القصيم'!BL5+'الباحه'!BL5+'عسير'!BL5+'جازان'!BL5+'جده'!BL5+'الطائف'!BL5+'العاصمه'!BM5+'القريات'!BL5</f>
        <v>4215</v>
      </c>
      <c r="BM6" s="95">
        <f>'الرياض'!BM5+'المدينه المنوره'!BM5+'الشرقيه'!BM5+'الحدود الشماليه'!BM5+'تبوك'!BM5+'الجوف'!BM5+'حائل'!BM5+'نجران'!BM5+'القصيم'!BM5+'الباحه'!BM5+'عسير'!BM5+'جازان'!BM5+'جده'!BM5+'الطائف'!BM5+'العاصمه'!BN5+'القريات'!BM5</f>
        <v>4422</v>
      </c>
      <c r="BN6" s="95">
        <f>'الرياض'!BN5+'المدينه المنوره'!BN5+'الشرقيه'!BN5+'الحدود الشماليه'!BN5+'تبوك'!BN5+'الجوف'!BN5+'حائل'!BN5+'نجران'!BN5+'القصيم'!BN5+'الباحه'!BN5+'عسير'!BN5+'جازان'!BN5+'جده'!BN5+'الطائف'!BN5+'العاصمه'!BO5+'القريات'!BN5</f>
        <v>12492</v>
      </c>
      <c r="BO6" s="95">
        <f>'الرياض'!BO5+'المدينه المنوره'!BO5+'الشرقيه'!BO5+'الحدود الشماليه'!BO5+'تبوك'!BO5+'الجوف'!BO5+'حائل'!BO5+'نجران'!BO5+'القصيم'!BO5+'الباحه'!BO5+'عسير'!BO5+'جازان'!BO5+'جده'!BO5+'الطائف'!BO5+'العاصمه'!BP5+'القريات'!BO5</f>
        <v>4</v>
      </c>
      <c r="BP6" s="95">
        <f>'الرياض'!BP5+'المدينه المنوره'!BP5+'الشرقيه'!BP5+'الحدود الشماليه'!BP5+'تبوك'!BP5+'الجوف'!BP5+'حائل'!BP5+'نجران'!BP5+'القصيم'!BP5+'الباحه'!BP5+'عسير'!BP5+'جازان'!BP5+'جده'!BP5+'الطائف'!BP5+'العاصمه'!BQ5+'القريات'!BP5</f>
        <v>16481</v>
      </c>
      <c r="BQ6" s="24">
        <f t="shared" si="12"/>
        <v>46325</v>
      </c>
      <c r="BR6" s="96">
        <f>'الرياض'!BR5+'المدينه المنوره'!BR5+'الشرقيه'!BR5+'الحدود الشماليه'!BR5+'تبوك'!BR5+'الجوف'!BR5+'حائل'!BR5+'نجران'!BR5+'القصيم'!BR5+'الباحه'!BR5+'عسير'!BR5+'جازان'!BR5+'جده'!BR5+'الطائف'!BR5+'العاصمه'!BS5+'القريات'!BR5</f>
        <v>3263</v>
      </c>
      <c r="BS6" s="96">
        <f>'الرياض'!BS5+'المدينه المنوره'!BS5+'الشرقيه'!BS5+'الحدود الشماليه'!BS5+'تبوك'!BS5+'الجوف'!BS5+'حائل'!BS5+'نجران'!BS5+'القصيم'!BS5+'الباحه'!BS5+'عسير'!BS5+'جازان'!BS5+'جده'!BS5+'الطائف'!BS5+'العاصمه'!BT5+'القريات'!BS5</f>
        <v>770</v>
      </c>
      <c r="BT6" s="97">
        <f>'الرياض'!BT5+'المدينه المنوره'!BT5+'الشرقيه'!BT5+'الحدود الشماليه'!BT5+'تبوك'!BT5+'الجوف'!BT5+'حائل'!BT5+'نجران'!BT5+'القصيم'!BT5+'الباحه'!BT5+'عسير'!BT5+'جازان'!BT5+'جده'!BT5+'الطائف'!BT5+'العاصمه'!BU5+'القريات'!BT5</f>
        <v>76366</v>
      </c>
      <c r="BU6" s="98">
        <f t="shared" si="13"/>
        <v>80399</v>
      </c>
    </row>
    <row r="7" ht="24.0" customHeight="1">
      <c r="A7" s="34" t="s">
        <v>73</v>
      </c>
      <c r="B7" s="97">
        <f>'الرياض'!B6+'المدينه المنوره'!B6+'الشرقيه'!B6+'الحدود الشماليه'!B6+'تبوك'!B6+'الجوف'!B6+'حائل'!B6+'نجران'!B6+'القصيم'!B6+'الباحه'!B6+'عسير'!B6+'جازان'!B6+'جده'!B6+'الطائف'!B6+'العاصمه'!C6+'القريات'!B6</f>
        <v>45597</v>
      </c>
      <c r="C7" s="97">
        <f>'الرياض'!C6+'المدينه المنوره'!C6+'الشرقيه'!C6+'الحدود الشماليه'!C6+'تبوك'!C6+'الجوف'!C6+'حائل'!C6+'نجران'!C6+'القصيم'!C6+'الباحه'!C6+'عسير'!C6+'جازان'!C6+'جده'!C6+'الطائف'!C6+'العاصمه'!D6+'القريات'!C6</f>
        <v>1800</v>
      </c>
      <c r="D7" s="97">
        <f>'الرياض'!D6+'المدينه المنوره'!D6+'الشرقيه'!D6+'الحدود الشماليه'!D6+'تبوك'!D6+'الجوف'!D6+'حائل'!D6+'نجران'!D6+'القصيم'!D6+'الباحه'!D6+'عسير'!D6+'جازان'!D6+'جده'!D6+'الطائف'!D6+'العاصمه'!E6+'القريات'!D6</f>
        <v>539</v>
      </c>
      <c r="E7" s="98">
        <f t="shared" si="1"/>
        <v>47936</v>
      </c>
      <c r="F7" s="95">
        <f>'الرياض'!F6+'المدينه المنوره'!F6+'الشرقيه'!F6+'الحدود الشماليه'!F6+'تبوك'!F6+'الجوف'!F6+'حائل'!F6+'نجران'!F6+'القصيم'!F6+'الباحه'!F6+'عسير'!F6+'جازان'!F6+'جده'!F6+'الطائف'!F6+'العاصمه'!G6+'القريات'!F6</f>
        <v>7257</v>
      </c>
      <c r="G7" s="95">
        <f>'الرياض'!G6+'المدينه المنوره'!G6+'الشرقيه'!G6+'الحدود الشماليه'!G6+'تبوك'!G6+'الجوف'!G6+'حائل'!G6+'نجران'!G6+'القصيم'!G6+'الباحه'!G6+'عسير'!G6+'جازان'!G6+'جده'!G6+'الطائف'!G6+'العاصمه'!H6+'القريات'!G6</f>
        <v>7029</v>
      </c>
      <c r="H7" s="95">
        <f>'الرياض'!H6+'المدينه المنوره'!H6+'الشرقيه'!H6+'الحدود الشماليه'!H6+'تبوك'!H6+'الجوف'!H6+'حائل'!H6+'نجران'!H6+'القصيم'!H6+'الباحه'!H6+'عسير'!H6+'جازان'!H6+'جده'!H6+'الطائف'!H6+'العاصمه'!I6+'القريات'!H6</f>
        <v>6707</v>
      </c>
      <c r="I7" s="95">
        <f>'الرياض'!I6+'المدينه المنوره'!I6+'الشرقيه'!I6+'الحدود الشماليه'!I6+'تبوك'!I6+'الجوف'!I6+'حائل'!I6+'نجران'!I6+'القصيم'!I6+'الباحه'!I6+'عسير'!I6+'جازان'!I6+'جده'!I6+'الطائف'!I6+'العاصمه'!J6+'القريات'!I6</f>
        <v>7021</v>
      </c>
      <c r="J7" s="95">
        <f>'الرياض'!J6+'المدينه المنوره'!J6+'الشرقيه'!J6+'الحدود الشماليه'!J6+'تبوك'!J6+'الجوف'!J6+'حائل'!J6+'نجران'!J6+'القصيم'!J6+'الباحه'!J6+'عسير'!J6+'جازان'!J6+'جده'!J6+'الطائف'!J6+'العاصمه'!K6+'القريات'!J6</f>
        <v>6362</v>
      </c>
      <c r="K7" s="95">
        <f>'الرياض'!K6+'المدينه المنوره'!K6+'الشرقيه'!K6+'الحدود الشماليه'!K6+'تبوك'!K6+'الجوف'!K6+'حائل'!K6+'نجران'!K6+'القصيم'!K6+'الباحه'!K6+'عسير'!K6+'جازان'!K6+'جده'!K6+'الطائف'!K6+'العاصمه'!L6+'القريات'!K6</f>
        <v>7327</v>
      </c>
      <c r="L7" s="95">
        <f>'الرياض'!L6+'المدينه المنوره'!L6+'الشرقيه'!L6+'الحدود الشماليه'!L6+'تبوك'!L6+'الجوف'!L6+'حائل'!L6+'نجران'!L6+'القصيم'!L6+'الباحه'!L6+'عسير'!L6+'جازان'!L6+'جده'!L6+'الطائف'!L6+'العاصمه'!M6+'القريات'!L6</f>
        <v>6233</v>
      </c>
      <c r="M7" s="24">
        <f t="shared" si="14"/>
        <v>47936</v>
      </c>
      <c r="N7" s="95">
        <f>'الرياض'!N6+'المدينه المنوره'!N6+'الشرقيه'!N6+'الحدود الشماليه'!N6+'تبوك'!N6+'الجوف'!N6+'حائل'!N6+'نجران'!N6+'القصيم'!N6+'الباحه'!N6+'عسير'!N6+'جازان'!N6+'جده'!N6+'الطائف'!N6+'العاصمه'!O6+'القريات'!N6</f>
        <v>30229</v>
      </c>
      <c r="O7" s="95">
        <f>'الرياض'!O6+'المدينه المنوره'!O6+'الشرقيه'!O6+'الحدود الشماليه'!O6+'تبوك'!O6+'الجوف'!O6+'حائل'!O6+'نجران'!O6+'القصيم'!O6+'الباحه'!O6+'عسير'!O6+'جازان'!O6+'جده'!O6+'الطائف'!O6+'العاصمه'!P6+'القريات'!O6</f>
        <v>17707</v>
      </c>
      <c r="P7" s="24">
        <f t="shared" si="2"/>
        <v>47936</v>
      </c>
      <c r="Q7" s="95">
        <f>'الرياض'!Q6+'المدينه المنوره'!Q6+'الشرقيه'!Q6+'الحدود الشماليه'!Q6+'تبوك'!Q6+'الجوف'!Q6+'حائل'!Q6+'نجران'!Q6+'القصيم'!Q6+'الباحه'!Q6+'عسير'!Q6+'جازان'!Q6+'جده'!Q6+'الطائف'!Q6+'العاصمه'!R6+'القريات'!Q6</f>
        <v>36343</v>
      </c>
      <c r="R7" s="95">
        <f>'الرياض'!R6+'المدينه المنوره'!R6+'الشرقيه'!R6+'الحدود الشماليه'!R6+'تبوك'!R6+'الجوف'!R6+'حائل'!R6+'نجران'!R6+'القصيم'!R6+'الباحه'!R6+'عسير'!R6+'جازان'!R6+'جده'!R6+'الطائف'!R6+'العاصمه'!S6+'القريات'!R6</f>
        <v>11593</v>
      </c>
      <c r="S7" s="24">
        <f t="shared" si="3"/>
        <v>47936</v>
      </c>
      <c r="T7" s="95">
        <f>'الرياض'!T6+'المدينه المنوره'!T6+'الشرقيه'!T6+'الحدود الشماليه'!T6+'تبوك'!T6+'الجوف'!T6+'حائل'!T6+'نجران'!T6+'القصيم'!T6+'الباحه'!T6+'عسير'!T6+'جازان'!T6+'جده'!T6+'الطائف'!T6+'العاصمه'!U6+'القريات'!T6</f>
        <v>38425</v>
      </c>
      <c r="U7" s="95">
        <f>'الرياض'!U6+'المدينه المنوره'!U6+'الشرقيه'!U6+'الحدود الشماليه'!U6+'تبوك'!U6+'الجوف'!U6+'حائل'!U6+'نجران'!U6+'القصيم'!U6+'الباحه'!U6+'عسير'!U6+'جازان'!U6+'جده'!U6+'الطائف'!U6+'العاصمه'!V6+'القريات'!U6</f>
        <v>13303</v>
      </c>
      <c r="V7" s="95">
        <f>'الرياض'!V6+'المدينه المنوره'!V6+'الشرقيه'!V6+'الحدود الشماليه'!V6+'تبوك'!V6+'الجوف'!V6+'حائل'!V6+'نجران'!V6+'القصيم'!V6+'الباحه'!V6+'عسير'!V6+'جازان'!V6+'جده'!V6+'الطائف'!V6+'العاصمه'!W6+'القريات'!V6</f>
        <v>1746</v>
      </c>
      <c r="W7" s="95">
        <f>'الرياض'!W6+'المدينه المنوره'!W6+'الشرقيه'!W6+'الحدود الشماليه'!W6+'تبوك'!W6+'الجوف'!W6+'حائل'!W6+'نجران'!W6+'القصيم'!W6+'الباحه'!W6+'عسير'!W6+'جازان'!W6+'جده'!W6+'الطائف'!W6+'العاصمه'!X6+'القريات'!W6</f>
        <v>11521</v>
      </c>
      <c r="X7" s="95">
        <f>'الرياض'!X6+'المدينه المنوره'!X6+'الشرقيه'!X6+'الحدود الشماليه'!X6+'تبوك'!X6+'الجوف'!X6+'حائل'!X6+'نجران'!X6+'القصيم'!X6+'الباحه'!X6+'عسير'!X6+'جازان'!X6+'جده'!X6+'الطائف'!X6+'العاصمه'!Y6+'القريات'!X6</f>
        <v>7417</v>
      </c>
      <c r="Y7" s="95">
        <f>'الرياض'!Y6+'المدينه المنوره'!Y6+'الشرقيه'!Y6+'الحدود الشماليه'!Y6+'تبوك'!Y6+'الجوف'!Y6+'حائل'!Y6+'نجران'!Y6+'القصيم'!Y6+'الباحه'!Y6+'عسير'!Y6+'جازان'!Y6+'جده'!Y6+'الطائف'!Y6+'العاصمه'!Z6+'القريات'!Y6</f>
        <v>717</v>
      </c>
      <c r="Z7" s="95">
        <f>'الرياض'!Z6+'المدينه المنوره'!Z6+'الشرقيه'!Z6+'الحدود الشماليه'!Z6+'تبوك'!Z6+'الجوف'!Z6+'حائل'!Z6+'نجران'!Z6+'القصيم'!Z6+'الباحه'!Z6+'عسير'!Z6+'جازان'!Z6+'جده'!Z6+'الطائف'!Z6+'العاصمه'!AA6+'القريات'!Z6</f>
        <v>1843</v>
      </c>
      <c r="AA7" s="24">
        <f t="shared" si="4"/>
        <v>74972</v>
      </c>
      <c r="AB7" s="95">
        <f>'الرياض'!AB6+'المدينه المنوره'!AB6+'الشرقيه'!AB6+'الحدود الشماليه'!AB6+'تبوك'!AB6+'الجوف'!AB6+'حائل'!AB6+'نجران'!AB6+'القصيم'!AB6+'الباحه'!AB6+'عسير'!AB6+'جازان'!AB6+'جده'!AB6+'الطائف'!AB6+'العاصمه'!AC6+'القريات'!AB6</f>
        <v>12553</v>
      </c>
      <c r="AC7" s="95">
        <f>'الرياض'!AC6+'المدينه المنوره'!AC6+'الشرقيه'!AC6+'الحدود الشماليه'!AC6+'تبوك'!AC6+'الجوف'!AC6+'حائل'!AC6+'نجران'!AC6+'القصيم'!AC6+'الباحه'!AC6+'عسير'!AC6+'جازان'!AC6+'جده'!AC6+'الطائف'!AC6+'العاصمه'!AD6+'القريات'!AC6</f>
        <v>27004</v>
      </c>
      <c r="AD7" s="95">
        <f>'الرياض'!AD6+'المدينه المنوره'!AD6+'الشرقيه'!AD6+'الحدود الشماليه'!AD6+'تبوك'!AD6+'الجوف'!AD6+'حائل'!AD6+'نجران'!AD6+'القصيم'!AD6+'الباحه'!AD6+'عسير'!AD6+'جازان'!AD6+'جده'!AD6+'الطائف'!AD6+'العاصمه'!AE6+'القريات'!AD6</f>
        <v>22100</v>
      </c>
      <c r="AE7" s="95">
        <f>'الرياض'!AE6+'المدينه المنوره'!AE6+'الشرقيه'!AE6+'الحدود الشماليه'!AE6+'تبوك'!AE6+'الجوف'!AE6+'حائل'!AE6+'نجران'!AE6+'القصيم'!AE6+'الباحه'!AE6+'عسير'!AE6+'جازان'!AE6+'جده'!AE6+'الطائف'!AE6+'العاصمه'!AF6+'القريات'!AE6</f>
        <v>12996</v>
      </c>
      <c r="AF7" s="95">
        <f>'الرياض'!AF6+'المدينه المنوره'!AF6+'الشرقيه'!AF6+'الحدود الشماليه'!AF6+'تبوك'!AF6+'الجوف'!AF6+'حائل'!AF6+'نجران'!AF6+'القصيم'!AF6+'الباحه'!AF6+'عسير'!AF6+'جازان'!AF6+'جده'!AF6+'الطائف'!AF6+'العاصمه'!AG6+'القريات'!AF6</f>
        <v>5496</v>
      </c>
      <c r="AG7" s="24">
        <f t="shared" si="5"/>
        <v>80149</v>
      </c>
      <c r="AH7" s="95">
        <f>'الرياض'!AH6+'المدينه المنوره'!AH6+'الشرقيه'!AH6+'الحدود الشماليه'!AH6+'تبوك'!AH6+'الجوف'!AH6+'حائل'!AH6+'نجران'!AH6+'القصيم'!AH6+'الباحه'!AH6+'عسير'!AH6+'جازان'!AH6+'جده'!AH6+'الطائف'!AH6+'العاصمه'!AI6+'القريات'!AH6</f>
        <v>49952</v>
      </c>
      <c r="AI7" s="95">
        <f>'الرياض'!AI6+'المدينه المنوره'!AI6+'الشرقيه'!AI6+'الحدود الشماليه'!AI6+'تبوك'!AI6+'الجوف'!AI6+'حائل'!AI6+'نجران'!AI6+'القصيم'!AI6+'الباحه'!AI6+'عسير'!AI6+'جازان'!AI6+'جده'!AI6+'الطائف'!AI6+'العاصمه'!AJ6+'القريات'!AI6</f>
        <v>30197</v>
      </c>
      <c r="AJ7" s="24">
        <f t="shared" si="6"/>
        <v>80149</v>
      </c>
      <c r="AK7" s="95">
        <f>'الرياض'!AK6+'المدينه المنوره'!AK6+'الشرقيه'!AK6+'الحدود الشماليه'!AK6+'تبوك'!AK6+'الجوف'!AK6+'حائل'!AK6+'نجران'!AK6+'القصيم'!AK6+'الباحه'!AK6+'عسير'!AK6+'جازان'!AK6+'جده'!AK6+'الطائف'!AK6+'العاصمه'!AL6+'القريات'!AK6</f>
        <v>47134</v>
      </c>
      <c r="AL7" s="95">
        <f>'الرياض'!AL6+'المدينه المنوره'!AL6+'الشرقيه'!AL6+'الحدود الشماليه'!AL6+'تبوك'!AL6+'الجوف'!AL6+'حائل'!AL6+'نجران'!AL6+'القصيم'!AL6+'الباحه'!AL6+'عسير'!AL6+'جازان'!AL6+'جده'!AL6+'الطائف'!AL6+'العاصمه'!AM6+'القريات'!AL6</f>
        <v>33015</v>
      </c>
      <c r="AM7" s="24">
        <f t="shared" si="7"/>
        <v>80149</v>
      </c>
      <c r="AN7" s="95">
        <f>'الرياض'!AN6+'المدينه المنوره'!AN6+'الشرقيه'!AN6+'الحدود الشماليه'!AN6+'تبوك'!AN6+'الجوف'!AN6+'حائل'!AN6+'نجران'!AN6+'القصيم'!AN6+'الباحه'!AN6+'عسير'!AN6+'جازان'!AN6+'جده'!AN6+'الطائف'!AN6+'العاصمه'!AO6+'القريات'!AN6</f>
        <v>78392</v>
      </c>
      <c r="AO7" s="95">
        <f>'الرياض'!AO6+'المدينه المنوره'!AO6+'الشرقيه'!AO6+'الحدود الشماليه'!AO6+'تبوك'!AO6+'الجوف'!AO6+'حائل'!AO6+'نجران'!AO6+'القصيم'!AO6+'الباحه'!AO6+'عسير'!AO6+'جازان'!AO6+'جده'!AO6+'الطائف'!AO6+'العاصمه'!AP6+'القريات'!AO6</f>
        <v>1757</v>
      </c>
      <c r="AP7" s="24">
        <f t="shared" si="8"/>
        <v>80149</v>
      </c>
      <c r="AQ7" s="95">
        <f>'الرياض'!AQ6+'المدينه المنوره'!AQ6+'الشرقيه'!AQ6+'الحدود الشماليه'!AQ6+'تبوك'!AQ6+'الجوف'!AQ6+'حائل'!AQ6+'نجران'!AQ6+'القصيم'!AQ6+'الباحه'!AQ6+'عسير'!AQ6+'جازان'!AQ6+'جده'!AQ6+'الطائف'!AQ6+'العاصمه'!AR6+'القريات'!AQ6</f>
        <v>54882</v>
      </c>
      <c r="AR7" s="95">
        <f>'الرياض'!AR6+'المدينه المنوره'!AR6+'الشرقيه'!AR6+'الحدود الشماليه'!AR6+'تبوك'!AR6+'الجوف'!AR6+'حائل'!AR6+'نجران'!AR6+'القصيم'!AR6+'الباحه'!AR6+'عسير'!AR6+'جازان'!AR6+'جده'!AR6+'الطائف'!AR6+'العاصمه'!AS6+'القريات'!AR6</f>
        <v>16137</v>
      </c>
      <c r="AS7" s="95">
        <f>'الرياض'!AS6+'المدينه المنوره'!AS6+'الشرقيه'!AS6+'الحدود الشماليه'!AS6+'تبوك'!AS6+'الجوف'!AS6+'حائل'!AS6+'نجران'!AS6+'القصيم'!AS6+'الباحه'!AS6+'عسير'!AS6+'جازان'!AS6+'جده'!AS6+'الطائف'!AS6+'العاصمه'!AT6+'القريات'!AS6</f>
        <v>295</v>
      </c>
      <c r="AT7" s="95">
        <f>'الرياض'!AT6+'المدينه المنوره'!AT6+'الشرقيه'!AT6+'الحدود الشماليه'!AT6+'تبوك'!AT6+'الجوف'!AT6+'حائل'!AT6+'نجران'!AT6+'القصيم'!AT6+'الباحه'!AT6+'عسير'!AT6+'جازان'!AT6+'جده'!AT6+'الطائف'!AT6+'العاصمه'!AU6+'القريات'!AT6</f>
        <v>844</v>
      </c>
      <c r="AU7" s="95">
        <f>'الرياض'!AU6+'المدينه المنوره'!AU6+'الشرقيه'!AU6+'الحدود الشماليه'!AU6+'تبوك'!AU6+'الجوف'!AU6+'حائل'!AU6+'نجران'!AU6+'القصيم'!AU6+'الباحه'!AU6+'عسير'!AU6+'جازان'!AU6+'جده'!AU6+'الطائف'!AU6+'العاصمه'!AV6+'القريات'!AU6</f>
        <v>7991</v>
      </c>
      <c r="AV7" s="24">
        <f t="shared" si="15"/>
        <v>80149</v>
      </c>
      <c r="AW7" s="24">
        <f t="shared" si="9"/>
        <v>7991</v>
      </c>
      <c r="AX7" s="95">
        <f>'الرياض'!AX6+'المدينه المنوره'!AX6+'الشرقيه'!AX6+'الحدود الشماليه'!AX6+'تبوك'!AX6+'الجوف'!AX6+'حائل'!AX6+'نجران'!AX6+'القصيم'!AX6+'الباحه'!AX6+'عسير'!AX6+'جازان'!AX6+'جده'!AX6+'الطائف'!AX6+'العاصمه'!AY6+'القريات'!AX6</f>
        <v>59146</v>
      </c>
      <c r="AY7" s="95">
        <f>'الرياض'!AY6+'المدينه المنوره'!AY6+'الشرقيه'!AY6+'الحدود الشماليه'!AY6+'تبوك'!AY6+'الجوف'!AY6+'حائل'!AY6+'نجران'!AY6+'القصيم'!AY6+'الباحه'!AY6+'عسير'!AY6+'جازان'!AY6+'جده'!AY6+'الطائف'!AY6+'العاصمه'!AZ6+'القريات'!AY6</f>
        <v>13012</v>
      </c>
      <c r="AZ7" s="95">
        <f t="shared" si="10"/>
        <v>80149</v>
      </c>
      <c r="BA7" s="95">
        <f>'الرياض'!BA6+'المدينه المنوره'!BA6+'الشرقيه'!BA6+'الحدود الشماليه'!BA6+'تبوك'!BA6+'الجوف'!BA6+'حائل'!BA6+'نجران'!BA6+'القصيم'!BA6+'الباحه'!BA6+'عسير'!BA6+'جازان'!BA6+'جده'!BA6+'الطائف'!BA6+'العاصمه'!BB6+'القريات'!BA6</f>
        <v>35599</v>
      </c>
      <c r="BB7" s="95">
        <f>'الرياض'!BB6+'المدينه المنوره'!BB6+'الشرقيه'!BB6+'الحدود الشماليه'!BB6+'تبوك'!BB6+'الجوف'!BB6+'حائل'!BB6+'نجران'!BB6+'القصيم'!BB6+'الباحه'!BB6+'عسير'!BB6+'جازان'!BB6+'جده'!BB6+'الطائف'!BB6+'العاصمه'!BC6+'القريات'!$BB6</f>
        <v>4905</v>
      </c>
      <c r="BC7" s="95">
        <f>'الرياض'!BC6+'المدينه المنوره'!BC6+'الشرقيه'!BC6+'الحدود الشماليه'!BC6+'تبوك'!BC6+'الجوف'!BC6+'حائل'!BC6+'نجران'!BC6+'القصيم'!BC6+'الباحه'!BC6+'عسير'!BC6+'جازان'!BC6+'جده'!BC6+'الطائف'!BC6+'العاصمه'!BD6+'القريات'!BC6</f>
        <v>499</v>
      </c>
      <c r="BD7" s="95">
        <f>'الرياض'!BD6+'المدينه المنوره'!BD6+'الشرقيه'!BD6+'الحدود الشماليه'!BD6+'تبوك'!BD6+'الجوف'!BD6+'حائل'!BD6+'نجران'!BD6+'القصيم'!BD6+'الباحه'!BD6+'عسير'!BD6+'جازان'!BD6+'جده'!BD6+'الطائف'!BD6+'العاصمه'!BE6+'القريات'!BD6</f>
        <v>94</v>
      </c>
      <c r="BE7" s="95">
        <f>'الرياض'!BE6+'المدينه المنوره'!BE6+'الشرقيه'!BE6+'الحدود الشماليه'!BE6+'تبوك'!BE6+'الجوف'!BE6+'حائل'!BE6+'نجران'!BE6+'القصيم'!BE6+'الباحه'!BE6+'عسير'!BE6+'جازان'!BE6+'جده'!BE6+'الطائف'!BE6+'العاصمه'!BF6+'القريات'!BE6</f>
        <v>131</v>
      </c>
      <c r="BF7" s="95">
        <f>'الرياض'!BF6+'المدينه المنوره'!BF6+'الشرقيه'!BF6+'الحدود الشماليه'!BF6+'تبوك'!BF6+'الجوف'!BF6+'حائل'!BF6+'نجران'!BF6+'القصيم'!BF6+'الباحه'!BF6+'عسير'!BF6+'جازان'!BF6+'جده'!BF6+'الطائف'!BF6+'العاصمه'!BG6+'القريات'!BF6</f>
        <v>1907</v>
      </c>
      <c r="BG7" s="95">
        <f>'الرياض'!BG6+'المدينه المنوره'!BG6+'الشرقيه'!BG6+'الحدود الشماليه'!BG6+'تبوك'!BG6+'الجوف'!BG6+'حائل'!BG6+'نجران'!BG6+'القصيم'!BG6+'الباحه'!BG6+'عسير'!BG6+'جازان'!BG6+'جده'!BG6+'الطائف'!BG6+'العاصمه'!BH6+'القريات'!BG6</f>
        <v>2192</v>
      </c>
      <c r="BH7" s="95">
        <f>'الرياض'!BH6+'المدينه المنوره'!BH6+'الشرقيه'!BH6+'الحدود الشماليه'!BH6+'تبوك'!BH6+'الجوف'!BH6+'حائل'!BH6+'نجران'!BH6+'القصيم'!BH6+'الباحه'!BH6+'عسير'!BH6+'جازان'!BH6+'جده'!BH6+'الطائف'!BH6+'العاصمه'!BI6+'القريات'!BH6</f>
        <v>2609</v>
      </c>
      <c r="BI7" s="95">
        <f t="shared" si="11"/>
        <v>47936</v>
      </c>
      <c r="BJ7" s="95">
        <f>'الرياض'!BJ6+'المدينه المنوره'!BJ6+'الشرقيه'!BJ6+'الحدود الشماليه'!BJ6+'تبوك'!BJ6+'الجوف'!BJ6+'حائل'!BJ6+'نجران'!BJ6+'القصيم'!BJ6+'الباحه'!BJ6+'عسير'!BJ6+'جازان'!BJ6+'جده'!BJ6+'الطائف'!BJ6+'العاصمه'!BK6+'القريات'!BJ6</f>
        <v>6738</v>
      </c>
      <c r="BK7" s="95">
        <f>'الرياض'!BK6+'المدينه المنوره'!BK6+'الشرقيه'!BK6+'الحدود الشماليه'!BK6+'تبوك'!BK6+'الجوف'!BK6+'حائل'!BK6+'نجران'!BK6+'القصيم'!BK6+'الباحه'!BK6+'عسير'!BK6+'جازان'!BK6+'جده'!BK6+'الطائف'!BK6+'العاصمه'!BL6+'القريات'!BK6</f>
        <v>5939</v>
      </c>
      <c r="BL7" s="95">
        <f>'الرياض'!BL6+'المدينه المنوره'!BL6+'الشرقيه'!BL6+'الحدود الشماليه'!BL6+'تبوك'!BL6+'الجوف'!BL6+'حائل'!BL6+'نجران'!BL6+'القصيم'!BL6+'الباحه'!BL6+'عسير'!BL6+'جازان'!BL6+'جده'!BL6+'الطائف'!BL6+'العاصمه'!BM6+'القريات'!BL6</f>
        <v>6028</v>
      </c>
      <c r="BM7" s="95">
        <f>'الرياض'!BM6+'المدينه المنوره'!BM6+'الشرقيه'!BM6+'الحدود الشماليه'!BM6+'تبوك'!BM6+'الجوف'!BM6+'حائل'!BM6+'نجران'!BM6+'القصيم'!BM6+'الباحه'!BM6+'عسير'!BM6+'جازان'!BM6+'جده'!BM6+'الطائف'!BM6+'العاصمه'!BN6+'القريات'!BM6</f>
        <v>4476</v>
      </c>
      <c r="BN7" s="95">
        <f>'الرياض'!BN6+'المدينه المنوره'!BN6+'الشرقيه'!BN6+'الحدود الشماليه'!BN6+'تبوك'!BN6+'الجوف'!BN6+'حائل'!BN6+'نجران'!BN6+'القصيم'!BN6+'الباحه'!BN6+'عسير'!BN6+'جازان'!BN6+'جده'!BN6+'الطائف'!BN6+'العاصمه'!BO6+'القريات'!BN6</f>
        <v>11277</v>
      </c>
      <c r="BO7" s="95">
        <f>'الرياض'!BO6+'المدينه المنوره'!BO6+'الشرقيه'!BO6+'الحدود الشماليه'!BO6+'تبوك'!BO6+'الجوف'!BO6+'حائل'!BO6+'نجران'!BO6+'القصيم'!BO6+'الباحه'!BO6+'عسير'!BO6+'جازان'!BO6+'جده'!BO6+'الطائف'!BO6+'العاصمه'!BP6+'القريات'!BO6</f>
        <v>0</v>
      </c>
      <c r="BP7" s="95">
        <f>'الرياض'!BP6+'المدينه المنوره'!BP6+'الشرقيه'!BP6+'الحدود الشماليه'!BP6+'تبوك'!BP6+'الجوف'!BP6+'حائل'!BP6+'نجران'!BP6+'القصيم'!BP6+'الباحه'!BP6+'عسير'!BP6+'جازان'!BP6+'جده'!BP6+'الطائف'!BP6+'العاصمه'!BQ6+'القريات'!BP6</f>
        <v>13478</v>
      </c>
      <c r="BQ7" s="24">
        <f t="shared" si="12"/>
        <v>47936</v>
      </c>
      <c r="BR7" s="96">
        <f>'الرياض'!BR6+'المدينه المنوره'!BR6+'الشرقيه'!BR6+'الحدود الشماليه'!BR6+'تبوك'!BR6+'الجوف'!BR6+'حائل'!BR6+'نجران'!BR6+'القصيم'!BR6+'الباحه'!BR6+'عسير'!BR6+'جازان'!BR6+'جده'!BR6+'الطائف'!BR6+'العاصمه'!BS6+'القريات'!BR6</f>
        <v>3122</v>
      </c>
      <c r="BS7" s="96">
        <f>'الرياض'!BS6+'المدينه المنوره'!BS6+'الشرقيه'!BS6+'الحدود الشماليه'!BS6+'تبوك'!BS6+'الجوف'!BS6+'حائل'!BS6+'نجران'!BS6+'القصيم'!BS6+'الباحه'!BS6+'عسير'!BS6+'جازان'!BS6+'جده'!BS6+'الطائف'!BS6+'العاصمه'!BT6+'القريات'!BS6</f>
        <v>691</v>
      </c>
      <c r="BT7" s="97">
        <f>'الرياض'!BT6+'المدينه المنوره'!BT6+'الشرقيه'!BT6+'الحدود الشماليه'!BT6+'تبوك'!BT6+'الجوف'!BT6+'حائل'!BT6+'نجران'!BT6+'القصيم'!BT6+'الباحه'!BT6+'عسير'!BT6+'جازان'!BT6+'جده'!BT6+'الطائف'!BT6+'العاصمه'!BU6+'القريات'!BT6</f>
        <v>80332</v>
      </c>
      <c r="BU7" s="98">
        <f t="shared" si="13"/>
        <v>84145</v>
      </c>
    </row>
    <row r="8" ht="24.0" customHeight="1">
      <c r="A8" s="34" t="s">
        <v>74</v>
      </c>
      <c r="B8" s="97">
        <f>'الرياض'!B7+'المدينه المنوره'!B7+'الشرقيه'!B7+'الحدود الشماليه'!B7+'تبوك'!B7+'الجوف'!B7+'حائل'!B7+'نجران'!B7+'القصيم'!B7+'الباحه'!B7+'عسير'!B7+'جازان'!B7+'جده'!B7+'الطائف'!B7+'العاصمه'!C7+'القريات'!B7</f>
        <v>42913</v>
      </c>
      <c r="C8" s="97">
        <f>'الرياض'!C7+'المدينه المنوره'!C7+'الشرقيه'!C7+'الحدود الشماليه'!C7+'تبوك'!C7+'الجوف'!C7+'حائل'!C7+'نجران'!C7+'القصيم'!C7+'الباحه'!C7+'عسير'!C7+'جازان'!C7+'جده'!C7+'الطائف'!C7+'العاصمه'!D7+'القريات'!C7</f>
        <v>1872</v>
      </c>
      <c r="D8" s="97">
        <f>'الرياض'!D7+'المدينه المنوره'!D7+'الشرقيه'!D7+'الحدود الشماليه'!D7+'تبوك'!D7+'الجوف'!D7+'حائل'!D7+'نجران'!D7+'القصيم'!D7+'الباحه'!D7+'عسير'!D7+'جازان'!D7+'جده'!D7+'الطائف'!D7+'العاصمه'!E7+'القريات'!D7</f>
        <v>591</v>
      </c>
      <c r="E8" s="98">
        <f t="shared" si="1"/>
        <v>45376</v>
      </c>
      <c r="F8" s="95">
        <f>'الرياض'!F7+'المدينه المنوره'!F7+'الشرقيه'!F7+'الحدود الشماليه'!F7+'تبوك'!F7+'الجوف'!F7+'حائل'!F7+'نجران'!F7+'القصيم'!F7+'الباحه'!F7+'عسير'!F7+'جازان'!F7+'جده'!F7+'الطائف'!F7+'العاصمه'!G7+'القريات'!F7</f>
        <v>6239</v>
      </c>
      <c r="G8" s="95">
        <f>'الرياض'!G7+'المدينه المنوره'!G7+'الشرقيه'!G7+'الحدود الشماليه'!G7+'تبوك'!G7+'الجوف'!G7+'حائل'!G7+'نجران'!G7+'القصيم'!G7+'الباحه'!G7+'عسير'!G7+'جازان'!G7+'جده'!G7+'الطائف'!G7+'العاصمه'!H7+'القريات'!G7</f>
        <v>6701</v>
      </c>
      <c r="H8" s="95">
        <f>'الرياض'!H7+'المدينه المنوره'!H7+'الشرقيه'!H7+'الحدود الشماليه'!H7+'تبوك'!H7+'الجوف'!H7+'حائل'!H7+'نجران'!H7+'القصيم'!H7+'الباحه'!H7+'عسير'!H7+'جازان'!H7+'جده'!H7+'الطائف'!H7+'العاصمه'!I7+'القريات'!H7</f>
        <v>6537</v>
      </c>
      <c r="I8" s="95">
        <f>'الرياض'!I7+'المدينه المنوره'!I7+'الشرقيه'!I7+'الحدود الشماليه'!I7+'تبوك'!I7+'الجوف'!I7+'حائل'!I7+'نجران'!I7+'القصيم'!I7+'الباحه'!I7+'عسير'!I7+'جازان'!I7+'جده'!I7+'الطائف'!I7+'العاصمه'!J7+'القريات'!I7</f>
        <v>6527</v>
      </c>
      <c r="J8" s="95">
        <f>'الرياض'!J7+'المدينه المنوره'!J7+'الشرقيه'!J7+'الحدود الشماليه'!J7+'تبوك'!J7+'الجوف'!J7+'حائل'!J7+'نجران'!J7+'القصيم'!J7+'الباحه'!J7+'عسير'!J7+'جازان'!J7+'جده'!J7+'الطائف'!J7+'العاصمه'!K7+'القريات'!J7</f>
        <v>6497</v>
      </c>
      <c r="K8" s="95">
        <f>'الرياض'!K7+'المدينه المنوره'!K7+'الشرقيه'!K7+'الحدود الشماليه'!K7+'تبوك'!K7+'الجوف'!K7+'حائل'!K7+'نجران'!K7+'القصيم'!K7+'الباحه'!K7+'عسير'!K7+'جازان'!K7+'جده'!K7+'الطائف'!K7+'العاصمه'!L7+'القريات'!K7</f>
        <v>6611</v>
      </c>
      <c r="L8" s="95">
        <f>'الرياض'!L7+'المدينه المنوره'!L7+'الشرقيه'!L7+'الحدود الشماليه'!L7+'تبوك'!L7+'الجوف'!L7+'حائل'!L7+'نجران'!L7+'القصيم'!L7+'الباحه'!L7+'عسير'!L7+'جازان'!L7+'جده'!L7+'الطائف'!L7+'العاصمه'!M7+'القريات'!L7</f>
        <v>6264</v>
      </c>
      <c r="M8" s="24">
        <f t="shared" si="14"/>
        <v>45376</v>
      </c>
      <c r="N8" s="95">
        <f>'الرياض'!N7+'المدينه المنوره'!N7+'الشرقيه'!N7+'الحدود الشماليه'!N7+'تبوك'!N7+'الجوف'!N7+'حائل'!N7+'نجران'!N7+'القصيم'!N7+'الباحه'!N7+'عسير'!N7+'جازان'!N7+'جده'!N7+'الطائف'!N7+'العاصمه'!O7+'القريات'!N7</f>
        <v>28026</v>
      </c>
      <c r="O8" s="95">
        <f>'الرياض'!O7+'المدينه المنوره'!O7+'الشرقيه'!O7+'الحدود الشماليه'!O7+'تبوك'!O7+'الجوف'!O7+'حائل'!O7+'نجران'!O7+'القصيم'!O7+'الباحه'!O7+'عسير'!O7+'جازان'!O7+'جده'!O7+'الطائف'!O7+'العاصمه'!P7+'القريات'!O7</f>
        <v>17350</v>
      </c>
      <c r="P8" s="24">
        <f t="shared" si="2"/>
        <v>45376</v>
      </c>
      <c r="Q8" s="95">
        <f>'الرياض'!Q7+'المدينه المنوره'!Q7+'الشرقيه'!Q7+'الحدود الشماليه'!Q7+'تبوك'!Q7+'الجوف'!Q7+'حائل'!Q7+'نجران'!Q7+'القصيم'!Q7+'الباحه'!Q7+'عسير'!Q7+'جازان'!Q7+'جده'!Q7+'الطائف'!Q7+'العاصمه'!R7+'القريات'!Q7</f>
        <v>33751</v>
      </c>
      <c r="R8" s="95">
        <f>'الرياض'!R7+'المدينه المنوره'!R7+'الشرقيه'!R7+'الحدود الشماليه'!R7+'تبوك'!R7+'الجوف'!R7+'حائل'!R7+'نجران'!R7+'القصيم'!R7+'الباحه'!R7+'عسير'!R7+'جازان'!R7+'جده'!R7+'الطائف'!R7+'العاصمه'!S7+'القريات'!R7</f>
        <v>11625</v>
      </c>
      <c r="S8" s="24">
        <f t="shared" si="3"/>
        <v>45376</v>
      </c>
      <c r="T8" s="95">
        <f>'الرياض'!T7+'المدينه المنوره'!T7+'الشرقيه'!T7+'الحدود الشماليه'!T7+'تبوك'!T7+'الجوف'!T7+'حائل'!T7+'نجران'!T7+'القصيم'!T7+'الباحه'!T7+'عسير'!T7+'جازان'!T7+'جده'!T7+'الطائف'!T7+'العاصمه'!U7+'القريات'!T7</f>
        <v>39768</v>
      </c>
      <c r="U8" s="95">
        <f>'الرياض'!U7+'المدينه المنوره'!U7+'الشرقيه'!U7+'الحدود الشماليه'!U7+'تبوك'!U7+'الجوف'!U7+'حائل'!U7+'نجران'!U7+'القصيم'!U7+'الباحه'!U7+'عسير'!U7+'جازان'!U7+'جده'!U7+'الطائف'!U7+'العاصمه'!V7+'القريات'!U7</f>
        <v>11171</v>
      </c>
      <c r="V8" s="95">
        <f>'الرياض'!V7+'المدينه المنوره'!V7+'الشرقيه'!V7+'الحدود الشماليه'!V7+'تبوك'!V7+'الجوف'!V7+'حائل'!V7+'نجران'!V7+'القصيم'!V7+'الباحه'!V7+'عسير'!V7+'جازان'!V7+'جده'!V7+'الطائف'!V7+'العاصمه'!W7+'القريات'!V7</f>
        <v>1263</v>
      </c>
      <c r="W8" s="95">
        <f>'الرياض'!W7+'المدينه المنوره'!W7+'الشرقيه'!W7+'الحدود الشماليه'!W7+'تبوك'!W7+'الجوف'!W7+'حائل'!W7+'نجران'!W7+'القصيم'!W7+'الباحه'!W7+'عسير'!W7+'جازان'!W7+'جده'!W7+'الطائف'!W7+'العاصمه'!X7+'القريات'!W7</f>
        <v>32793</v>
      </c>
      <c r="X8" s="95">
        <f>'الرياض'!X7+'المدينه المنوره'!X7+'الشرقيه'!X7+'الحدود الشماليه'!X7+'تبوك'!X7+'الجوف'!X7+'حائل'!X7+'نجران'!X7+'القصيم'!X7+'الباحه'!X7+'عسير'!X7+'جازان'!X7+'جده'!X7+'الطائف'!X7+'العاصمه'!Y7+'القريات'!X7</f>
        <v>7138</v>
      </c>
      <c r="Y8" s="95">
        <f>'الرياض'!Y7+'المدينه المنوره'!Y7+'الشرقيه'!Y7+'الحدود الشماليه'!Y7+'تبوك'!Y7+'الجوف'!Y7+'حائل'!Y7+'نجران'!Y7+'القصيم'!Y7+'الباحه'!Y7+'عسير'!Y7+'جازان'!Y7+'جده'!Y7+'الطائف'!Y7+'العاصمه'!Z7+'القريات'!Y7</f>
        <v>549</v>
      </c>
      <c r="Z8" s="95">
        <f>'الرياض'!Z7+'المدينه المنوره'!Z7+'الشرقيه'!Z7+'الحدود الشماليه'!Z7+'تبوك'!Z7+'الجوف'!Z7+'حائل'!Z7+'نجران'!Z7+'القصيم'!Z7+'الباحه'!Z7+'عسير'!Z7+'جازان'!Z7+'جده'!Z7+'الطائف'!Z7+'العاصمه'!AA7+'القريات'!Z7</f>
        <v>6082</v>
      </c>
      <c r="AA8" s="24">
        <f t="shared" si="4"/>
        <v>98764</v>
      </c>
      <c r="AB8" s="95">
        <f>'الرياض'!AB7+'المدينه المنوره'!AB7+'الشرقيه'!AB7+'الحدود الشماليه'!AB7+'تبوك'!AB7+'الجوف'!AB7+'حائل'!AB7+'نجران'!AB7+'القصيم'!AB7+'الباحه'!AB7+'عسير'!AB7+'جازان'!AB7+'جده'!AB7+'الطائف'!AB7+'العاصمه'!AC7+'القريات'!AB7</f>
        <v>11449</v>
      </c>
      <c r="AC8" s="95">
        <f>'الرياض'!AC7+'المدينه المنوره'!AC7+'الشرقيه'!AC7+'الحدود الشماليه'!AC7+'تبوك'!AC7+'الجوف'!AC7+'حائل'!AC7+'نجران'!AC7+'القصيم'!AC7+'الباحه'!AC7+'عسير'!AC7+'جازان'!AC7+'جده'!AC7+'الطائف'!AC7+'العاصمه'!AD7+'القريات'!AC7</f>
        <v>31271</v>
      </c>
      <c r="AD8" s="95">
        <f>'الرياض'!AD7+'المدينه المنوره'!AD7+'الشرقيه'!AD7+'الحدود الشماليه'!AD7+'تبوك'!AD7+'الجوف'!AD7+'حائل'!AD7+'نجران'!AD7+'القصيم'!AD7+'الباحه'!AD7+'عسير'!AD7+'جازان'!AD7+'جده'!AD7+'الطائف'!AD7+'العاصمه'!AE7+'القريات'!AD7</f>
        <v>23088</v>
      </c>
      <c r="AE8" s="95">
        <f>'الرياض'!AE7+'المدينه المنوره'!AE7+'الشرقيه'!AE7+'الحدود الشماليه'!AE7+'تبوك'!AE7+'الجوف'!AE7+'حائل'!AE7+'نجران'!AE7+'القصيم'!AE7+'الباحه'!AE7+'عسير'!AE7+'جازان'!AE7+'جده'!AE7+'الطائف'!AE7+'العاصمه'!AF7+'القريات'!AE7</f>
        <v>12408</v>
      </c>
      <c r="AF8" s="95">
        <f>'الرياض'!AF7+'المدينه المنوره'!AF7+'الشرقيه'!AF7+'الحدود الشماليه'!AF7+'تبوك'!AF7+'الجوف'!AF7+'حائل'!AF7+'نجران'!AF7+'القصيم'!AF7+'الباحه'!AF7+'عسير'!AF7+'جازان'!AF7+'جده'!AF7+'الطائف'!AF7+'العاصمه'!AG7+'القريات'!AF7</f>
        <v>5094</v>
      </c>
      <c r="AG8" s="24">
        <f t="shared" si="5"/>
        <v>83310</v>
      </c>
      <c r="AH8" s="95">
        <f>'الرياض'!AH7+'المدينه المنوره'!AH7+'الشرقيه'!AH7+'الحدود الشماليه'!AH7+'تبوك'!AH7+'الجوف'!AH7+'حائل'!AH7+'نجران'!AH7+'القصيم'!AH7+'الباحه'!AH7+'عسير'!AH7+'جازان'!AH7+'جده'!AH7+'الطائف'!AH7+'العاصمه'!AI7+'القريات'!AH7</f>
        <v>47925</v>
      </c>
      <c r="AI8" s="95">
        <f>'الرياض'!AI7+'المدينه المنوره'!AI7+'الشرقيه'!AI7+'الحدود الشماليه'!AI7+'تبوك'!AI7+'الجوف'!AI7+'حائل'!AI7+'نجران'!AI7+'القصيم'!AI7+'الباحه'!AI7+'عسير'!AI7+'جازان'!AI7+'جده'!AI7+'الطائف'!AI7+'العاصمه'!AJ7+'القريات'!AI7</f>
        <v>35385</v>
      </c>
      <c r="AJ8" s="24">
        <f t="shared" si="6"/>
        <v>83310</v>
      </c>
      <c r="AK8" s="95">
        <f>'الرياض'!AK7+'المدينه المنوره'!AK7+'الشرقيه'!AK7+'الحدود الشماليه'!AK7+'تبوك'!AK7+'الجوف'!AK7+'حائل'!AK7+'نجران'!AK7+'القصيم'!AK7+'الباحه'!AK7+'عسير'!AK7+'جازان'!AK7+'جده'!AK7+'الطائف'!AK7+'العاصمه'!AL7+'القريات'!AK7</f>
        <v>49047</v>
      </c>
      <c r="AL8" s="95">
        <f>'الرياض'!AL7+'المدينه المنوره'!AL7+'الشرقيه'!AL7+'الحدود الشماليه'!AL7+'تبوك'!AL7+'الجوف'!AL7+'حائل'!AL7+'نجران'!AL7+'القصيم'!AL7+'الباحه'!AL7+'عسير'!AL7+'جازان'!AL7+'جده'!AL7+'الطائف'!AL7+'العاصمه'!AM7+'القريات'!AL7</f>
        <v>34263</v>
      </c>
      <c r="AM8" s="24">
        <f t="shared" si="7"/>
        <v>83310</v>
      </c>
      <c r="AN8" s="95">
        <f>'الرياض'!AN7+'المدينه المنوره'!AN7+'الشرقيه'!AN7+'الحدود الشماليه'!AN7+'تبوك'!AN7+'الجوف'!AN7+'حائل'!AN7+'نجران'!AN7+'القصيم'!AN7+'الباحه'!AN7+'عسير'!AN7+'جازان'!AN7+'جده'!AN7+'الطائف'!AN7+'العاصمه'!AO7+'القريات'!AN7</f>
        <v>81284</v>
      </c>
      <c r="AO8" s="95">
        <f>'الرياض'!AO7+'المدينه المنوره'!AO7+'الشرقيه'!AO7+'الحدود الشماليه'!AO7+'تبوك'!AO7+'الجوف'!AO7+'حائل'!AO7+'نجران'!AO7+'القصيم'!AO7+'الباحه'!AO7+'عسير'!AO7+'جازان'!AO7+'جده'!AO7+'الطائف'!AO7+'العاصمه'!AP7+'القريات'!AO7</f>
        <v>2026</v>
      </c>
      <c r="AP8" s="24">
        <f t="shared" si="8"/>
        <v>83310</v>
      </c>
      <c r="AQ8" s="95">
        <f>'الرياض'!AQ7+'المدينه المنوره'!AQ7+'الشرقيه'!AQ7+'الحدود الشماليه'!AQ7+'تبوك'!AQ7+'الجوف'!AQ7+'حائل'!AQ7+'نجران'!AQ7+'القصيم'!AQ7+'الباحه'!AQ7+'عسير'!AQ7+'جازان'!AQ7+'جده'!AQ7+'الطائف'!AQ7+'العاصمه'!AR7+'القريات'!AQ7</f>
        <v>55115</v>
      </c>
      <c r="AR8" s="95">
        <f>'الرياض'!AR7+'المدينه المنوره'!AR7+'الشرقيه'!AR7+'الحدود الشماليه'!AR7+'تبوك'!AR7+'الجوف'!AR7+'حائل'!AR7+'نجران'!AR7+'القصيم'!AR7+'الباحه'!AR7+'عسير'!AR7+'جازان'!AR7+'جده'!AR7+'الطائف'!AR7+'العاصمه'!AS7+'القريات'!AR7</f>
        <v>17249</v>
      </c>
      <c r="AS8" s="95">
        <f>'الرياض'!AS7+'المدينه المنوره'!AS7+'الشرقيه'!AS7+'الحدود الشماليه'!AS7+'تبوك'!AS7+'الجوف'!AS7+'حائل'!AS7+'نجران'!AS7+'القصيم'!AS7+'الباحه'!AS7+'عسير'!AS7+'جازان'!AS7+'جده'!AS7+'الطائف'!AS7+'العاصمه'!AT7+'القريات'!AS7</f>
        <v>125</v>
      </c>
      <c r="AT8" s="95">
        <f>'الرياض'!AT7+'المدينه المنوره'!AT7+'الشرقيه'!AT7+'الحدود الشماليه'!AT7+'تبوك'!AT7+'الجوف'!AT7+'حائل'!AT7+'نجران'!AT7+'القصيم'!AT7+'الباحه'!AT7+'عسير'!AT7+'جازان'!AT7+'جده'!AT7+'الطائف'!AT7+'العاصمه'!AU7+'القريات'!AT7</f>
        <v>135</v>
      </c>
      <c r="AU8" s="95">
        <f>'الرياض'!AU7+'المدينه المنوره'!AU7+'الشرقيه'!AU7+'الحدود الشماليه'!AU7+'تبوك'!AU7+'الجوف'!AU7+'حائل'!AU7+'نجران'!AU7+'القصيم'!AU7+'الباحه'!AU7+'عسير'!AU7+'جازان'!AU7+'جده'!AU7+'الطائف'!AU7+'العاصمه'!AV7+'القريات'!AU7</f>
        <v>10686</v>
      </c>
      <c r="AV8" s="24">
        <f t="shared" si="15"/>
        <v>83310</v>
      </c>
      <c r="AW8" s="24">
        <f t="shared" si="9"/>
        <v>10686</v>
      </c>
      <c r="AX8" s="95">
        <f>'الرياض'!AX7+'المدينه المنوره'!AX7+'الشرقيه'!AX7+'الحدود الشماليه'!AX7+'تبوك'!AX7+'الجوف'!AX7+'حائل'!AX7+'نجران'!AX7+'القصيم'!AX7+'الباحه'!AX7+'عسير'!AX7+'جازان'!AX7+'جده'!AX7+'الطائف'!AX7+'العاصمه'!AY7+'القريات'!AX7</f>
        <v>62127</v>
      </c>
      <c r="AY8" s="95">
        <f>'الرياض'!AY7+'المدينه المنوره'!AY7+'الشرقيه'!AY7+'الحدود الشماليه'!AY7+'تبوك'!AY7+'الجوف'!AY7+'حائل'!AY7+'نجران'!AY7+'القصيم'!AY7+'الباحه'!AY7+'عسير'!AY7+'جازان'!AY7+'جده'!AY7+'الطائف'!AY7+'العاصمه'!AZ7+'القريات'!AY7</f>
        <v>10497</v>
      </c>
      <c r="AZ8" s="95">
        <f t="shared" si="10"/>
        <v>83310</v>
      </c>
      <c r="BA8" s="95">
        <f>'الرياض'!BA7+'المدينه المنوره'!BA7+'الشرقيه'!BA7+'الحدود الشماليه'!BA7+'تبوك'!BA7+'الجوف'!BA7+'حائل'!BA7+'نجران'!BA7+'القصيم'!BA7+'الباحه'!BA7+'عسير'!BA7+'جازان'!BA7+'جده'!BA7+'الطائف'!BA7+'العاصمه'!BB7+'القريات'!BA7</f>
        <v>32620</v>
      </c>
      <c r="BB8" s="95">
        <f>'الرياض'!BB7+'المدينه المنوره'!BB7+'الشرقيه'!BB7+'الحدود الشماليه'!BB7+'تبوك'!BB7+'الجوف'!BB7+'حائل'!BB7+'نجران'!BB7+'القصيم'!BB7+'الباحه'!BB7+'عسير'!BB7+'جازان'!BB7+'جده'!BB7+'الطائف'!BB7+'العاصمه'!BC7+'القريات'!$BB7</f>
        <v>6102</v>
      </c>
      <c r="BC8" s="95">
        <f>'الرياض'!BC7+'المدينه المنوره'!BC7+'الشرقيه'!BC7+'الحدود الشماليه'!BC7+'تبوك'!BC7+'الجوف'!BC7+'حائل'!BC7+'نجران'!BC7+'القصيم'!BC7+'الباحه'!BC7+'عسير'!BC7+'جازان'!BC7+'جده'!BC7+'الطائف'!BC7+'العاصمه'!BD7+'القريات'!BC7</f>
        <v>760</v>
      </c>
      <c r="BD8" s="95">
        <f>'الرياض'!BD7+'المدينه المنوره'!BD7+'الشرقيه'!BD7+'الحدود الشماليه'!BD7+'تبوك'!BD7+'الجوف'!BD7+'حائل'!BD7+'نجران'!BD7+'القصيم'!BD7+'الباحه'!BD7+'عسير'!BD7+'جازان'!BD7+'جده'!BD7+'الطائف'!BD7+'العاصمه'!BE7+'القريات'!BD7</f>
        <v>70</v>
      </c>
      <c r="BE8" s="95">
        <f>'الرياض'!BE7+'المدينه المنوره'!BE7+'الشرقيه'!BE7+'الحدود الشماليه'!BE7+'تبوك'!BE7+'الجوف'!BE7+'حائل'!BE7+'نجران'!BE7+'القصيم'!BE7+'الباحه'!BE7+'عسير'!BE7+'جازان'!BE7+'جده'!BE7+'الطائف'!BE7+'العاصمه'!BF7+'القريات'!BE7</f>
        <v>69</v>
      </c>
      <c r="BF8" s="95">
        <f>'الرياض'!BF7+'المدينه المنوره'!BF7+'الشرقيه'!BF7+'الحدود الشماليه'!BF7+'تبوك'!BF7+'الجوف'!BF7+'حائل'!BF7+'نجران'!BF7+'القصيم'!BF7+'الباحه'!BF7+'عسير'!BF7+'جازان'!BF7+'جده'!BF7+'الطائف'!BF7+'العاصمه'!BG7+'القريات'!BF7</f>
        <v>1787</v>
      </c>
      <c r="BG8" s="95">
        <f>'الرياض'!BG7+'المدينه المنوره'!BG7+'الشرقيه'!BG7+'الحدود الشماليه'!BG7+'تبوك'!BG7+'الجوف'!BG7+'حائل'!BG7+'نجران'!BG7+'القصيم'!BG7+'الباحه'!BG7+'عسير'!BG7+'جازان'!BG7+'جده'!BG7+'الطائف'!BG7+'العاصمه'!BH7+'القريات'!BG7</f>
        <v>2228</v>
      </c>
      <c r="BH8" s="95">
        <f>'الرياض'!BH7+'المدينه المنوره'!BH7+'الشرقيه'!BH7+'الحدود الشماليه'!BH7+'تبوك'!BH7+'الجوف'!BH7+'حائل'!BH7+'نجران'!BH7+'القصيم'!BH7+'الباحه'!BH7+'عسير'!BH7+'جازان'!BH7+'جده'!BH7+'الطائف'!BH7+'العاصمه'!BI7+'القريات'!BH7</f>
        <v>1740</v>
      </c>
      <c r="BI8" s="95">
        <f t="shared" si="11"/>
        <v>45376</v>
      </c>
      <c r="BJ8" s="95">
        <f>'الرياض'!BJ7+'المدينه المنوره'!BJ7+'الشرقيه'!BJ7+'الحدود الشماليه'!BJ7+'تبوك'!BJ7+'الجوف'!BJ7+'حائل'!BJ7+'نجران'!BJ7+'القصيم'!BJ7+'الباحه'!BJ7+'عسير'!BJ7+'جازان'!BJ7+'جده'!BJ7+'الطائف'!BJ7+'العاصمه'!BK7+'القريات'!BJ7</f>
        <v>3808</v>
      </c>
      <c r="BK8" s="95">
        <f>'الرياض'!BK7+'المدينه المنوره'!BK7+'الشرقيه'!BK7+'الحدود الشماليه'!BK7+'تبوك'!BK7+'الجوف'!BK7+'حائل'!BK7+'نجران'!BK7+'القصيم'!BK7+'الباحه'!BK7+'عسير'!BK7+'جازان'!BK7+'جده'!BK7+'الطائف'!BK7+'العاصمه'!BL7+'القريات'!BK7</f>
        <v>4160</v>
      </c>
      <c r="BL8" s="95">
        <f>'الرياض'!BL7+'المدينه المنوره'!BL7+'الشرقيه'!BL7+'الحدود الشماليه'!BL7+'تبوك'!BL7+'الجوف'!BL7+'حائل'!BL7+'نجران'!BL7+'القصيم'!BL7+'الباحه'!BL7+'عسير'!BL7+'جازان'!BL7+'جده'!BL7+'الطائف'!BL7+'العاصمه'!BM7+'القريات'!BL7</f>
        <v>4554</v>
      </c>
      <c r="BM8" s="95">
        <f>'الرياض'!BM7+'المدينه المنوره'!BM7+'الشرقيه'!BM7+'الحدود الشماليه'!BM7+'تبوك'!BM7+'الجوف'!BM7+'حائل'!BM7+'نجران'!BM7+'القصيم'!BM7+'الباحه'!BM7+'عسير'!BM7+'جازان'!BM7+'جده'!BM7+'الطائف'!BM7+'العاصمه'!BN7+'القريات'!BM7</f>
        <v>5024</v>
      </c>
      <c r="BN8" s="95">
        <f>'الرياض'!BN7+'المدينه المنوره'!BN7+'الشرقيه'!BN7+'الحدود الشماليه'!BN7+'تبوك'!BN7+'الجوف'!BN7+'حائل'!BN7+'نجران'!BN7+'القصيم'!BN7+'الباحه'!BN7+'عسير'!BN7+'جازان'!BN7+'جده'!BN7+'الطائف'!BN7+'العاصمه'!BO7+'القريات'!BN7</f>
        <v>10039</v>
      </c>
      <c r="BO8" s="95">
        <f>'الرياض'!BO7+'المدينه المنوره'!BO7+'الشرقيه'!BO7+'الحدود الشماليه'!BO7+'تبوك'!BO7+'الجوف'!BO7+'حائل'!BO7+'نجران'!BO7+'القصيم'!BO7+'الباحه'!BO7+'عسير'!BO7+'جازان'!BO7+'جده'!BO7+'الطائف'!BO7+'العاصمه'!BP7+'القريات'!BO7</f>
        <v>18</v>
      </c>
      <c r="BP8" s="95">
        <f>'الرياض'!BP7+'المدينه المنوره'!BP7+'الشرقيه'!BP7+'الحدود الشماليه'!BP7+'تبوك'!BP7+'الجوف'!BP7+'حائل'!BP7+'نجران'!BP7+'القصيم'!BP7+'الباحه'!BP7+'عسير'!BP7+'جازان'!BP7+'جده'!BP7+'الطائف'!BP7+'العاصمه'!BQ7+'القريات'!BP7</f>
        <v>17773</v>
      </c>
      <c r="BQ8" s="24">
        <f t="shared" si="12"/>
        <v>45376</v>
      </c>
      <c r="BR8" s="96">
        <f>'الرياض'!BR7+'المدينه المنوره'!BR7+'الشرقيه'!BR7+'الحدود الشماليه'!BR7+'تبوك'!BR7+'الجوف'!BR7+'حائل'!BR7+'نجران'!BR7+'القصيم'!BR7+'الباحه'!BR7+'عسير'!BR7+'جازان'!BR7+'جده'!BR7+'الطائف'!BR7+'العاصمه'!BS7+'القريات'!BR7</f>
        <v>3137</v>
      </c>
      <c r="BS8" s="96">
        <f>'الرياض'!BS7+'المدينه المنوره'!BS7+'الشرقيه'!BS7+'الحدود الشماليه'!BS7+'تبوك'!BS7+'الجوف'!BS7+'حائل'!BS7+'نجران'!BS7+'القصيم'!BS7+'الباحه'!BS7+'عسير'!BS7+'جازان'!BS7+'جده'!BS7+'الطائف'!BS7+'العاصمه'!BT7+'القريات'!BS7</f>
        <v>787</v>
      </c>
      <c r="BT8" s="97">
        <f>'الرياض'!BT7+'المدينه المنوره'!BT7+'الشرقيه'!BT7+'الحدود الشماليه'!BT7+'تبوك'!BT7+'الجوف'!BT7+'حائل'!BT7+'نجران'!BT7+'القصيم'!BT7+'الباحه'!BT7+'عسير'!BT7+'جازان'!BT7+'جده'!BT7+'الطائف'!BT7+'العاصمه'!BU7+'القريات'!BT7</f>
        <v>90865</v>
      </c>
      <c r="BU8" s="98">
        <f t="shared" si="13"/>
        <v>94789</v>
      </c>
    </row>
    <row r="9" ht="24.0" customHeight="1">
      <c r="A9" s="24" t="s">
        <v>75</v>
      </c>
      <c r="B9" s="97">
        <f>'الرياض'!B8+'المدينه المنوره'!B8+'الشرقيه'!B8+'الحدود الشماليه'!B8+'تبوك'!B8+'الجوف'!B8+'حائل'!B8+'نجران'!B8+'القصيم'!B8+'الباحه'!B8+'عسير'!B8+'جازان'!B8+'جده'!B8+'الطائف'!B8+'العاصمه'!C8+'القريات'!B8</f>
        <v>43786</v>
      </c>
      <c r="C9" s="97">
        <f>'الرياض'!C8+'المدينه المنوره'!C8+'الشرقيه'!C8+'الحدود الشماليه'!C8+'تبوك'!C8+'الجوف'!C8+'حائل'!C8+'نجران'!C8+'القصيم'!C8+'الباحه'!C8+'عسير'!C8+'جازان'!C8+'جده'!C8+'الطائف'!C8+'العاصمه'!D8+'القريات'!C8</f>
        <v>1866</v>
      </c>
      <c r="D9" s="97">
        <f>'الرياض'!D8+'المدينه المنوره'!D8+'الشرقيه'!D8+'الحدود الشماليه'!D8+'تبوك'!D8+'الجوف'!D8+'حائل'!D8+'نجران'!D8+'القصيم'!D8+'الباحه'!D8+'عسير'!D8+'جازان'!D8+'جده'!D8+'الطائف'!D8+'العاصمه'!E8+'القريات'!D8</f>
        <v>580</v>
      </c>
      <c r="E9" s="98">
        <f t="shared" si="1"/>
        <v>46232</v>
      </c>
      <c r="F9" s="95">
        <f>'الرياض'!F8+'المدينه المنوره'!F8+'الشرقيه'!F8+'الحدود الشماليه'!F8+'تبوك'!F8+'الجوف'!F8+'حائل'!F8+'نجران'!F8+'القصيم'!F8+'الباحه'!F8+'عسير'!F8+'جازان'!F8+'جده'!F8+'الطائف'!F8+'العاصمه'!G8+'القريات'!F8</f>
        <v>6595</v>
      </c>
      <c r="G9" s="95">
        <f>'الرياض'!G8+'المدينه المنوره'!G8+'الشرقيه'!G8+'الحدود الشماليه'!G8+'تبوك'!G8+'الجوف'!G8+'حائل'!G8+'نجران'!G8+'القصيم'!G8+'الباحه'!G8+'عسير'!G8+'جازان'!G8+'جده'!G8+'الطائف'!G8+'العاصمه'!H8+'القريات'!G8</f>
        <v>6803</v>
      </c>
      <c r="H9" s="95">
        <f>'الرياض'!H8+'المدينه المنوره'!H8+'الشرقيه'!H8+'الحدود الشماليه'!H8+'تبوك'!H8+'الجوف'!H8+'حائل'!H8+'نجران'!H8+'القصيم'!H8+'الباحه'!H8+'عسير'!H8+'جازان'!H8+'جده'!H8+'الطائف'!H8+'العاصمه'!I8+'القريات'!H8</f>
        <v>6327</v>
      </c>
      <c r="I9" s="95">
        <f>'الرياض'!I8+'المدينه المنوره'!I8+'الشرقيه'!I8+'الحدود الشماليه'!I8+'تبوك'!I8+'الجوف'!I8+'حائل'!I8+'نجران'!I8+'القصيم'!I8+'الباحه'!I8+'عسير'!I8+'جازان'!I8+'جده'!I8+'الطائف'!I8+'العاصمه'!J8+'القريات'!I8</f>
        <v>6341</v>
      </c>
      <c r="J9" s="95">
        <f>'الرياض'!J8+'المدينه المنوره'!J8+'الشرقيه'!J8+'الحدود الشماليه'!J8+'تبوك'!J8+'الجوف'!J8+'حائل'!J8+'نجران'!J8+'القصيم'!J8+'الباحه'!J8+'عسير'!J8+'جازان'!J8+'جده'!J8+'الطائف'!J8+'العاصمه'!K8+'القريات'!J8</f>
        <v>6452</v>
      </c>
      <c r="K9" s="95">
        <f>'الرياض'!K8+'المدينه المنوره'!K8+'الشرقيه'!K8+'الحدود الشماليه'!K8+'تبوك'!K8+'الجوف'!K8+'حائل'!K8+'نجران'!K8+'القصيم'!K8+'الباحه'!K8+'عسير'!K8+'جازان'!K8+'جده'!K8+'الطائف'!K8+'العاصمه'!L8+'القريات'!K8</f>
        <v>7212</v>
      </c>
      <c r="L9" s="95">
        <f>'الرياض'!L8+'المدينه المنوره'!L8+'الشرقيه'!L8+'الحدود الشماليه'!L8+'تبوك'!L8+'الجوف'!L8+'حائل'!L8+'نجران'!L8+'القصيم'!L8+'الباحه'!L8+'عسير'!L8+'جازان'!L8+'جده'!L8+'الطائف'!L8+'العاصمه'!M8+'القريات'!L8</f>
        <v>6502</v>
      </c>
      <c r="M9" s="24">
        <f t="shared" si="14"/>
        <v>46232</v>
      </c>
      <c r="N9" s="95">
        <f>'الرياض'!N8+'المدينه المنوره'!N8+'الشرقيه'!N8+'الحدود الشماليه'!N8+'تبوك'!N8+'الجوف'!N8+'حائل'!N8+'نجران'!N8+'القصيم'!N8+'الباحه'!N8+'عسير'!N8+'جازان'!N8+'جده'!N8+'الطائف'!N8+'العاصمه'!O8+'القريات'!N8</f>
        <v>26968</v>
      </c>
      <c r="O9" s="95">
        <f>'الرياض'!O8+'المدينه المنوره'!O8+'الشرقيه'!O8+'الحدود الشماليه'!O8+'تبوك'!O8+'الجوف'!O8+'حائل'!O8+'نجران'!O8+'القصيم'!O8+'الباحه'!O8+'عسير'!O8+'جازان'!O8+'جده'!O8+'الطائف'!O8+'العاصمه'!P8+'القريات'!O8</f>
        <v>19264</v>
      </c>
      <c r="P9" s="24">
        <f t="shared" si="2"/>
        <v>46232</v>
      </c>
      <c r="Q9" s="95">
        <f>'الرياض'!Q8+'المدينه المنوره'!Q8+'الشرقيه'!Q8+'الحدود الشماليه'!Q8+'تبوك'!Q8+'الجوف'!Q8+'حائل'!Q8+'نجران'!Q8+'القصيم'!Q8+'الباحه'!Q8+'عسير'!Q8+'جازان'!Q8+'جده'!Q8+'الطائف'!Q8+'العاصمه'!R8+'القريات'!Q8</f>
        <v>33613</v>
      </c>
      <c r="R9" s="95">
        <f>'الرياض'!R8+'المدينه المنوره'!R8+'الشرقيه'!R8+'الحدود الشماليه'!R8+'تبوك'!R8+'الجوف'!R8+'حائل'!R8+'نجران'!R8+'القصيم'!R8+'الباحه'!R8+'عسير'!R8+'جازان'!R8+'جده'!R8+'الطائف'!R8+'العاصمه'!S8+'القريات'!R8</f>
        <v>12619</v>
      </c>
      <c r="S9" s="24">
        <f t="shared" si="3"/>
        <v>46232</v>
      </c>
      <c r="T9" s="95">
        <f>'الرياض'!T8+'المدينه المنوره'!T8+'الشرقيه'!T8+'الحدود الشماليه'!T8+'تبوك'!T8+'الجوف'!T8+'حائل'!T8+'نجران'!T8+'القصيم'!T8+'الباحه'!T8+'عسير'!T8+'جازان'!T8+'جده'!T8+'الطائف'!T8+'العاصمه'!U8+'القريات'!T8</f>
        <v>37778</v>
      </c>
      <c r="U9" s="95">
        <f>'الرياض'!U8+'المدينه المنوره'!U8+'الشرقيه'!U8+'الحدود الشماليه'!U8+'تبوك'!U8+'الجوف'!U8+'حائل'!U8+'نجران'!U8+'القصيم'!U8+'الباحه'!U8+'عسير'!U8+'جازان'!U8+'جده'!U8+'الطائف'!U8+'العاصمه'!V8+'القريات'!U8</f>
        <v>10131</v>
      </c>
      <c r="V9" s="95">
        <f>'الرياض'!V8+'المدينه المنوره'!V8+'الشرقيه'!V8+'الحدود الشماليه'!V8+'تبوك'!V8+'الجوف'!V8+'حائل'!V8+'نجران'!V8+'القصيم'!V8+'الباحه'!V8+'عسير'!V8+'جازان'!V8+'جده'!V8+'الطائف'!V8+'العاصمه'!W8+'القريات'!V8</f>
        <v>1357</v>
      </c>
      <c r="W9" s="95">
        <f>'الرياض'!W8+'المدينه المنوره'!W8+'الشرقيه'!W8+'الحدود الشماليه'!W8+'تبوك'!W8+'الجوف'!W8+'حائل'!W8+'نجران'!W8+'القصيم'!W8+'الباحه'!W8+'عسير'!W8+'جازان'!W8+'جده'!W8+'الطائف'!W8+'العاصمه'!X8+'القريات'!W8</f>
        <v>12847</v>
      </c>
      <c r="X9" s="95">
        <f>'الرياض'!X8+'المدينه المنوره'!X8+'الشرقيه'!X8+'الحدود الشماليه'!X8+'تبوك'!X8+'الجوف'!X8+'حائل'!X8+'نجران'!X8+'القصيم'!X8+'الباحه'!X8+'عسير'!X8+'جازان'!X8+'جده'!X8+'الطائف'!X8+'العاصمه'!Y8+'القريات'!X8</f>
        <v>4182</v>
      </c>
      <c r="Y9" s="95">
        <f>'الرياض'!Y8+'المدينه المنوره'!Y8+'الشرقيه'!Y8+'الحدود الشماليه'!Y8+'تبوك'!Y8+'الجوف'!Y8+'حائل'!Y8+'نجران'!Y8+'القصيم'!Y8+'الباحه'!Y8+'عسير'!Y8+'جازان'!Y8+'جده'!Y8+'الطائف'!Y8+'العاصمه'!Z8+'القريات'!Y8</f>
        <v>649</v>
      </c>
      <c r="Z9" s="95">
        <f>'الرياض'!Z8+'المدينه المنوره'!Z8+'الشرقيه'!Z8+'الحدود الشماليه'!Z8+'تبوك'!Z8+'الجوف'!Z8+'حائل'!Z8+'نجران'!Z8+'القصيم'!Z8+'الباحه'!Z8+'عسير'!Z8+'جازان'!Z8+'جده'!Z8+'الطائف'!Z8+'العاصمه'!AA8+'القريات'!Z8</f>
        <v>1981</v>
      </c>
      <c r="AA9" s="24">
        <f t="shared" si="4"/>
        <v>68925</v>
      </c>
      <c r="AB9" s="95">
        <f>'الرياض'!AB8+'المدينه المنوره'!AB8+'الشرقيه'!AB8+'الحدود الشماليه'!AB8+'تبوك'!AB8+'الجوف'!AB8+'حائل'!AB8+'نجران'!AB8+'القصيم'!AB8+'الباحه'!AB8+'عسير'!AB8+'جازان'!AB8+'جده'!AB8+'الطائف'!AB8+'العاصمه'!AC8+'القريات'!AB8</f>
        <v>10469</v>
      </c>
      <c r="AC9" s="95">
        <f>'الرياض'!AC8+'المدينه المنوره'!AC8+'الشرقيه'!AC8+'الحدود الشماليه'!AC8+'تبوك'!AC8+'الجوف'!AC8+'حائل'!AC8+'نجران'!AC8+'القصيم'!AC8+'الباحه'!AC8+'عسير'!AC8+'جازان'!AC8+'جده'!AC8+'الطائف'!AC8+'العاصمه'!AD8+'القريات'!AC8</f>
        <v>30103</v>
      </c>
      <c r="AD9" s="95">
        <f>'الرياض'!AD8+'المدينه المنوره'!AD8+'الشرقيه'!AD8+'الحدود الشماليه'!AD8+'تبوك'!AD8+'الجوف'!AD8+'حائل'!AD8+'نجران'!AD8+'القصيم'!AD8+'الباحه'!AD8+'عسير'!AD8+'جازان'!AD8+'جده'!AD8+'الطائف'!AD8+'العاصمه'!AE8+'القريات'!AD8</f>
        <v>24406</v>
      </c>
      <c r="AE9" s="95">
        <f>'الرياض'!AE8+'المدينه المنوره'!AE8+'الشرقيه'!AE8+'الحدود الشماليه'!AE8+'تبوك'!AE8+'الجوف'!AE8+'حائل'!AE8+'نجران'!AE8+'القصيم'!AE8+'الباحه'!AE8+'عسير'!AE8+'جازان'!AE8+'جده'!AE8+'الطائف'!AE8+'العاصمه'!AF8+'القريات'!AE8</f>
        <v>11422</v>
      </c>
      <c r="AF9" s="95">
        <f>'الرياض'!AF8+'المدينه المنوره'!AF8+'الشرقيه'!AF8+'الحدود الشماليه'!AF8+'تبوك'!AF8+'الجوف'!AF8+'حائل'!AF8+'نجران'!AF8+'القصيم'!AF8+'الباحه'!AF8+'عسير'!AF8+'جازان'!AF8+'جده'!AF8+'الطائف'!AF8+'العاصمه'!AG8+'القريات'!AF8</f>
        <v>6053</v>
      </c>
      <c r="AG9" s="24">
        <f t="shared" si="5"/>
        <v>82453</v>
      </c>
      <c r="AH9" s="95">
        <f>'الرياض'!AH8+'المدينه المنوره'!AH8+'الشرقيه'!AH8+'الحدود الشماليه'!AH8+'تبوك'!AH8+'الجوف'!AH8+'حائل'!AH8+'نجران'!AH8+'القصيم'!AH8+'الباحه'!AH8+'عسير'!AH8+'جازان'!AH8+'جده'!AH8+'الطائف'!AH8+'العاصمه'!AI8+'القريات'!AH8</f>
        <v>48623</v>
      </c>
      <c r="AI9" s="95">
        <f>'الرياض'!AI8+'المدينه المنوره'!AI8+'الشرقيه'!AI8+'الحدود الشماليه'!AI8+'تبوك'!AI8+'الجوف'!AI8+'حائل'!AI8+'نجران'!AI8+'القصيم'!AI8+'الباحه'!AI8+'عسير'!AI8+'جازان'!AI8+'جده'!AI8+'الطائف'!AI8+'العاصمه'!AJ8+'القريات'!AI8</f>
        <v>33830</v>
      </c>
      <c r="AJ9" s="24">
        <f t="shared" si="6"/>
        <v>82453</v>
      </c>
      <c r="AK9" s="95">
        <f>'الرياض'!AK8+'المدينه المنوره'!AK8+'الشرقيه'!AK8+'الحدود الشماليه'!AK8+'تبوك'!AK8+'الجوف'!AK8+'حائل'!AK8+'نجران'!AK8+'القصيم'!AK8+'الباحه'!AK8+'عسير'!AK8+'جازان'!AK8+'جده'!AK8+'الطائف'!AK8+'العاصمه'!AL8+'القريات'!AK8</f>
        <v>47411</v>
      </c>
      <c r="AL9" s="95">
        <f>'الرياض'!AL8+'المدينه المنوره'!AL8+'الشرقيه'!AL8+'الحدود الشماليه'!AL8+'تبوك'!AL8+'الجوف'!AL8+'حائل'!AL8+'نجران'!AL8+'القصيم'!AL8+'الباحه'!AL8+'عسير'!AL8+'جازان'!AL8+'جده'!AL8+'الطائف'!AL8+'العاصمه'!AM8+'القريات'!AL8</f>
        <v>35042</v>
      </c>
      <c r="AM9" s="24">
        <f t="shared" si="7"/>
        <v>82453</v>
      </c>
      <c r="AN9" s="95">
        <f>'الرياض'!AN8+'المدينه المنوره'!AN8+'الشرقيه'!AN8+'الحدود الشماليه'!AN8+'تبوك'!AN8+'الجوف'!AN8+'حائل'!AN8+'نجران'!AN8+'القصيم'!AN8+'الباحه'!AN8+'عسير'!AN8+'جازان'!AN8+'جده'!AN8+'الطائف'!AN8+'العاصمه'!AO8+'القريات'!AN8</f>
        <v>80614</v>
      </c>
      <c r="AO9" s="95">
        <f>'الرياض'!AO8+'المدينه المنوره'!AO8+'الشرقيه'!AO8+'الحدود الشماليه'!AO8+'تبوك'!AO8+'الجوف'!AO8+'حائل'!AO8+'نجران'!AO8+'القصيم'!AO8+'الباحه'!AO8+'عسير'!AO8+'جازان'!AO8+'جده'!AO8+'الطائف'!AO8+'العاصمه'!AP8+'القريات'!AO8</f>
        <v>1839</v>
      </c>
      <c r="AP9" s="24">
        <f t="shared" si="8"/>
        <v>82453</v>
      </c>
      <c r="AQ9" s="95">
        <f>'الرياض'!AQ8+'المدينه المنوره'!AQ8+'الشرقيه'!AQ8+'الحدود الشماليه'!AQ8+'تبوك'!AQ8+'الجوف'!AQ8+'حائل'!AQ8+'نجران'!AQ8+'القصيم'!AQ8+'الباحه'!AQ8+'عسير'!AQ8+'جازان'!AQ8+'جده'!AQ8+'الطائف'!AQ8+'العاصمه'!AR8+'القريات'!AQ8</f>
        <v>55225</v>
      </c>
      <c r="AR9" s="95">
        <f>'الرياض'!AR8+'المدينه المنوره'!AR8+'الشرقيه'!AR8+'الحدود الشماليه'!AR8+'تبوك'!AR8+'الجوف'!AR8+'حائل'!AR8+'نجران'!AR8+'القصيم'!AR8+'الباحه'!AR8+'عسير'!AR8+'جازان'!AR8+'جده'!AR8+'الطائف'!AR8+'العاصمه'!AS8+'القريات'!AR8</f>
        <v>17435</v>
      </c>
      <c r="AS9" s="95">
        <f>'الرياض'!AS8+'المدينه المنوره'!AS8+'الشرقيه'!AS8+'الحدود الشماليه'!AS8+'تبوك'!AS8+'الجوف'!AS8+'حائل'!AS8+'نجران'!AS8+'القصيم'!AS8+'الباحه'!AS8+'عسير'!AS8+'جازان'!AS8+'جده'!AS8+'الطائف'!AS8+'العاصمه'!AT8+'القريات'!AS8</f>
        <v>214</v>
      </c>
      <c r="AT9" s="95">
        <f>'الرياض'!AT8+'المدينه المنوره'!AT8+'الشرقيه'!AT8+'الحدود الشماليه'!AT8+'تبوك'!AT8+'الجوف'!AT8+'حائل'!AT8+'نجران'!AT8+'القصيم'!AT8+'الباحه'!AT8+'عسير'!AT8+'جازان'!AT8+'جده'!AT8+'الطائف'!AT8+'العاصمه'!AU8+'القريات'!AT8</f>
        <v>258</v>
      </c>
      <c r="AU9" s="95">
        <f>'الرياض'!AU8+'المدينه المنوره'!AU8+'الشرقيه'!AU8+'الحدود الشماليه'!AU8+'تبوك'!AU8+'الجوف'!AU8+'حائل'!AU8+'نجران'!AU8+'القصيم'!AU8+'الباحه'!AU8+'عسير'!AU8+'جازان'!AU8+'جده'!AU8+'الطائف'!AU8+'العاصمه'!AV8+'القريات'!AU8</f>
        <v>9321</v>
      </c>
      <c r="AV9" s="24">
        <f t="shared" si="15"/>
        <v>82453</v>
      </c>
      <c r="AW9" s="24">
        <f t="shared" si="9"/>
        <v>9321</v>
      </c>
      <c r="AX9" s="95">
        <f>'الرياض'!AX8+'المدينه المنوره'!AX8+'الشرقيه'!AX8+'الحدود الشماليه'!AX8+'تبوك'!AX8+'الجوف'!AX8+'حائل'!AX8+'نجران'!AX8+'القصيم'!AX8+'الباحه'!AX8+'عسير'!AX8+'جازان'!AX8+'جده'!AX8+'الطائف'!AX8+'العاصمه'!AY8+'القريات'!AX8</f>
        <v>63285</v>
      </c>
      <c r="AY9" s="95">
        <f>'الرياض'!AY8+'المدينه المنوره'!AY8+'الشرقيه'!AY8+'الحدود الشماليه'!AY8+'تبوك'!AY8+'الجوف'!AY8+'حائل'!AY8+'نجران'!AY8+'القصيم'!AY8+'الباحه'!AY8+'عسير'!AY8+'جازان'!AY8+'جده'!AY8+'الطائف'!AY8+'العاصمه'!AZ8+'القريات'!AY8</f>
        <v>9847</v>
      </c>
      <c r="AZ9" s="95">
        <f t="shared" si="10"/>
        <v>82453</v>
      </c>
      <c r="BA9" s="95">
        <f>'الرياض'!BA8+'المدينه المنوره'!BA8+'الشرقيه'!BA8+'الحدود الشماليه'!BA8+'تبوك'!BA8+'الجوف'!BA8+'حائل'!BA8+'نجران'!BA8+'القصيم'!BA8+'الباحه'!BA8+'عسير'!BA8+'جازان'!BA8+'جده'!BA8+'الطائف'!BA8+'العاصمه'!BB8+'القريات'!BA8</f>
        <v>34350</v>
      </c>
      <c r="BB9" s="95">
        <f>'الرياض'!BB8+'المدينه المنوره'!BB8+'الشرقيه'!BB8+'الحدود الشماليه'!BB8+'تبوك'!BB8+'الجوف'!BB8+'حائل'!BB8+'نجران'!BB8+'القصيم'!BB8+'الباحه'!BB8+'عسير'!BB8+'جازان'!BB8+'جده'!BB8+'الطائف'!BB8+'العاصمه'!BC8+'القريات'!$BB8</f>
        <v>4858</v>
      </c>
      <c r="BC9" s="95">
        <f>'الرياض'!BC8+'المدينه المنوره'!BC8+'الشرقيه'!BC8+'الحدود الشماليه'!BC8+'تبوك'!BC8+'الجوف'!BC8+'حائل'!BC8+'نجران'!BC8+'القصيم'!BC8+'الباحه'!BC8+'عسير'!BC8+'جازان'!BC8+'جده'!BC8+'الطائف'!BC8+'العاصمه'!BD8+'القريات'!BC8</f>
        <v>670</v>
      </c>
      <c r="BD9" s="95">
        <f>'الرياض'!BD8+'المدينه المنوره'!BD8+'الشرقيه'!BD8+'الحدود الشماليه'!BD8+'تبوك'!BD8+'الجوف'!BD8+'حائل'!BD8+'نجران'!BD8+'القصيم'!BD8+'الباحه'!BD8+'عسير'!BD8+'جازان'!BD8+'جده'!BD8+'الطائف'!BD8+'العاصمه'!BE8+'القريات'!BD8</f>
        <v>52</v>
      </c>
      <c r="BE9" s="95">
        <f>'الرياض'!BE8+'المدينه المنوره'!BE8+'الشرقيه'!BE8+'الحدود الشماليه'!BE8+'تبوك'!BE8+'الجوف'!BE8+'حائل'!BE8+'نجران'!BE8+'القصيم'!BE8+'الباحه'!BE8+'عسير'!BE8+'جازان'!BE8+'جده'!BE8+'الطائف'!BE8+'العاصمه'!BF8+'القريات'!BE8</f>
        <v>35</v>
      </c>
      <c r="BF9" s="95">
        <f>'الرياض'!BF8+'المدينه المنوره'!BF8+'الشرقيه'!BF8+'الحدود الشماليه'!BF8+'تبوك'!BF8+'الجوف'!BF8+'حائل'!BF8+'نجران'!BF8+'القصيم'!BF8+'الباحه'!BF8+'عسير'!BF8+'جازان'!BF8+'جده'!BF8+'الطائف'!BF8+'العاصمه'!BG8+'القريات'!BF8</f>
        <v>2076</v>
      </c>
      <c r="BG9" s="95">
        <f>'الرياض'!BG8+'المدينه المنوره'!BG8+'الشرقيه'!BG8+'الحدود الشماليه'!BG8+'تبوك'!BG8+'الجوف'!BG8+'حائل'!BG8+'نجران'!BG8+'القصيم'!BG8+'الباحه'!BG8+'عسير'!BG8+'جازان'!BG8+'جده'!BG8+'الطائف'!BG8+'العاصمه'!BH8+'القريات'!BG8</f>
        <v>2207</v>
      </c>
      <c r="BH9" s="95">
        <f>'الرياض'!BH8+'المدينه المنوره'!BH8+'الشرقيه'!BH8+'الحدود الشماليه'!BH8+'تبوك'!BH8+'الجوف'!BH8+'حائل'!BH8+'نجران'!BH8+'القصيم'!BH8+'الباحه'!BH8+'عسير'!BH8+'جازان'!BH8+'جده'!BH8+'الطائف'!BH8+'العاصمه'!BI8+'القريات'!BH8</f>
        <v>1984</v>
      </c>
      <c r="BI9" s="95">
        <f t="shared" si="11"/>
        <v>46232</v>
      </c>
      <c r="BJ9" s="95">
        <f>'الرياض'!BJ8+'المدينه المنوره'!BJ8+'الشرقيه'!BJ8+'الحدود الشماليه'!BJ8+'تبوك'!BJ8+'الجوف'!BJ8+'حائل'!BJ8+'نجران'!BJ8+'القصيم'!BJ8+'الباحه'!BJ8+'عسير'!BJ8+'جازان'!BJ8+'جده'!BJ8+'الطائف'!BJ8+'العاصمه'!BK8+'القريات'!BJ8</f>
        <v>5736</v>
      </c>
      <c r="BK9" s="95">
        <f>'الرياض'!BK8+'المدينه المنوره'!BK8+'الشرقيه'!BK8+'الحدود الشماليه'!BK8+'تبوك'!BK8+'الجوف'!BK8+'حائل'!BK8+'نجران'!BK8+'القصيم'!BK8+'الباحه'!BK8+'عسير'!BK8+'جازان'!BK8+'جده'!BK8+'الطائف'!BK8+'العاصمه'!BL8+'القريات'!BK8</f>
        <v>4077</v>
      </c>
      <c r="BL9" s="95">
        <f>'الرياض'!BL8+'المدينه المنوره'!BL8+'الشرقيه'!BL8+'الحدود الشماليه'!BL8+'تبوك'!BL8+'الجوف'!BL8+'حائل'!BL8+'نجران'!BL8+'القصيم'!BL8+'الباحه'!BL8+'عسير'!BL8+'جازان'!BL8+'جده'!BL8+'الطائف'!BL8+'العاصمه'!BM8+'القريات'!BL8</f>
        <v>3857</v>
      </c>
      <c r="BM9" s="95">
        <f>'الرياض'!BM8+'المدينه المنوره'!BM8+'الشرقيه'!BM8+'الحدود الشماليه'!BM8+'تبوك'!BM8+'الجوف'!BM8+'حائل'!BM8+'نجران'!BM8+'القصيم'!BM8+'الباحه'!BM8+'عسير'!BM8+'جازان'!BM8+'جده'!BM8+'الطائف'!BM8+'العاصمه'!BN8+'القريات'!BM8</f>
        <v>4212</v>
      </c>
      <c r="BN9" s="95">
        <f>'الرياض'!BN8+'المدينه المنوره'!BN8+'الشرقيه'!BN8+'الحدود الشماليه'!BN8+'تبوك'!BN8+'الجوف'!BN8+'حائل'!BN8+'نجران'!BN8+'القصيم'!BN8+'الباحه'!BN8+'عسير'!BN8+'جازان'!BN8+'جده'!BN8+'الطائف'!BN8+'العاصمه'!BO8+'القريات'!BN8</f>
        <v>11619</v>
      </c>
      <c r="BO9" s="95">
        <f>'الرياض'!BO8+'المدينه المنوره'!BO8+'الشرقيه'!BO8+'الحدود الشماليه'!BO8+'تبوك'!BO8+'الجوف'!BO8+'حائل'!BO8+'نجران'!BO8+'القصيم'!BO8+'الباحه'!BO8+'عسير'!BO8+'جازان'!BO8+'جده'!BO8+'الطائف'!BO8+'العاصمه'!BP8+'القريات'!BO8</f>
        <v>5</v>
      </c>
      <c r="BP9" s="95">
        <f>'الرياض'!BP8+'المدينه المنوره'!BP8+'الشرقيه'!BP8+'الحدود الشماليه'!BP8+'تبوك'!BP8+'الجوف'!BP8+'حائل'!BP8+'نجران'!BP8+'القصيم'!BP8+'الباحه'!BP8+'عسير'!BP8+'جازان'!BP8+'جده'!BP8+'الطائف'!BP8+'العاصمه'!BQ8+'القريات'!BP8</f>
        <v>16726</v>
      </c>
      <c r="BQ9" s="24">
        <f t="shared" si="12"/>
        <v>46232</v>
      </c>
      <c r="BR9" s="97">
        <f>'الرياض'!BR8+'المدينه المنوره'!BR8+'الشرقيه'!BR8+'الحدود الشماليه'!BR8+'تبوك'!BR8+'الجوف'!BR8+'حائل'!BR8+'نجران'!BR8+'القصيم'!BR8+'الباحه'!BR8+'عسير'!BR8+'جازان'!BR8+'جده'!BR8+'الطائف'!BR8+'العاصمه'!BS8+'القريات'!BR8</f>
        <v>3184</v>
      </c>
      <c r="BS9" s="97">
        <f>'الرياض'!BS8+'المدينه المنوره'!BS8+'الشرقيه'!BS8+'الحدود الشماليه'!BS8+'تبوك'!BS8+'الجوف'!BS8+'حائل'!BS8+'نجران'!BS8+'القصيم'!BS8+'الباحه'!BS8+'عسير'!BS8+'جازان'!BS8+'جده'!BS8+'الطائف'!BS8+'العاصمه'!BT8+'القريات'!BS8</f>
        <v>736</v>
      </c>
      <c r="BT9" s="97">
        <f>'الرياض'!BT8+'المدينه المنوره'!BT8+'الشرقيه'!BT8+'الحدود الشماليه'!BT8+'تبوك'!BT8+'الجوف'!BT8+'حائل'!BT8+'نجران'!BT8+'القصيم'!BT8+'الباحه'!BT8+'عسير'!BT8+'جازان'!BT8+'جده'!BT8+'الطائف'!BT8+'العاصمه'!BU8+'القريات'!BT8</f>
        <v>81701</v>
      </c>
      <c r="BU9" s="98">
        <f t="shared" si="13"/>
        <v>85621</v>
      </c>
    </row>
    <row r="10" ht="24.0" customHeight="1">
      <c r="A10" s="24" t="s">
        <v>76</v>
      </c>
      <c r="B10" s="97">
        <f>'الرياض'!B9+'المدينه المنوره'!B9+'الشرقيه'!B9+'الحدود الشماليه'!B9+'تبوك'!B9+'الجوف'!B9+'حائل'!B9+'نجران'!B9+'القصيم'!B9+'الباحه'!B9+'عسير'!B9+'جازان'!B9+'جده'!B9+'الطائف'!B9+'العاصمه'!C9+'القريات'!B9</f>
        <v>45347</v>
      </c>
      <c r="C10" s="97">
        <f>'الرياض'!C9+'المدينه المنوره'!C9+'الشرقيه'!C9+'الحدود الشماليه'!C9+'تبوك'!C9+'الجوف'!C9+'حائل'!C9+'نجران'!C9+'القصيم'!C9+'الباحه'!C9+'عسير'!C9+'جازان'!C9+'جده'!C9+'الطائف'!C9+'العاصمه'!D9+'القريات'!C9</f>
        <v>1855</v>
      </c>
      <c r="D10" s="97">
        <f>'الرياض'!D9+'المدينه المنوره'!D9+'الشرقيه'!D9+'الحدود الشماليه'!D9+'تبوك'!D9+'الجوف'!D9+'حائل'!D9+'نجران'!D9+'القصيم'!D9+'الباحه'!D9+'عسير'!D9+'جازان'!D9+'جده'!D9+'الطائف'!D9+'العاصمه'!E9+'القريات'!D9</f>
        <v>562</v>
      </c>
      <c r="E10" s="98">
        <f t="shared" si="1"/>
        <v>47764</v>
      </c>
      <c r="F10" s="95">
        <f>'الرياض'!F9+'المدينه المنوره'!F9+'الشرقيه'!F9+'الحدود الشماليه'!F9+'تبوك'!F9+'الجوف'!F9+'حائل'!F9+'نجران'!F9+'القصيم'!F9+'الباحه'!F9+'عسير'!F9+'جازان'!F9+'جده'!F9+'الطائف'!F9+'العاصمه'!G9+'القريات'!F9</f>
        <v>6994</v>
      </c>
      <c r="G10" s="95">
        <f>'الرياض'!G9+'المدينه المنوره'!G9+'الشرقيه'!G9+'الحدود الشماليه'!G9+'تبوك'!G9+'الجوف'!G9+'حائل'!G9+'نجران'!G9+'القصيم'!G9+'الباحه'!G9+'عسير'!G9+'جازان'!G9+'جده'!G9+'الطائف'!G9+'العاصمه'!H9+'القريات'!G9</f>
        <v>7553</v>
      </c>
      <c r="H10" s="95">
        <f>'الرياض'!H9+'المدينه المنوره'!H9+'الشرقيه'!H9+'الحدود الشماليه'!H9+'تبوك'!H9+'الجوف'!H9+'حائل'!H9+'نجران'!H9+'القصيم'!H9+'الباحه'!H9+'عسير'!H9+'جازان'!H9+'جده'!H9+'الطائف'!H9+'العاصمه'!I9+'القريات'!H9</f>
        <v>6388</v>
      </c>
      <c r="I10" s="95">
        <f>'الرياض'!I9+'المدينه المنوره'!I9+'الشرقيه'!I9+'الحدود الشماليه'!I9+'تبوك'!I9+'الجوف'!I9+'حائل'!I9+'نجران'!I9+'القصيم'!I9+'الباحه'!I9+'عسير'!I9+'جازان'!I9+'جده'!I9+'الطائف'!I9+'العاصمه'!J9+'القريات'!I9</f>
        <v>6911</v>
      </c>
      <c r="J10" s="95">
        <f>'الرياض'!J9+'المدينه المنوره'!J9+'الشرقيه'!J9+'الحدود الشماليه'!J9+'تبوك'!J9+'الجوف'!J9+'حائل'!J9+'نجران'!J9+'القصيم'!J9+'الباحه'!J9+'عسير'!J9+'جازان'!J9+'جده'!J9+'الطائف'!J9+'العاصمه'!K9+'القريات'!J9</f>
        <v>6735</v>
      </c>
      <c r="K10" s="95">
        <f>'الرياض'!K9+'المدينه المنوره'!K9+'الشرقيه'!K9+'الحدود الشماليه'!K9+'تبوك'!K9+'الجوف'!K9+'حائل'!K9+'نجران'!K9+'القصيم'!K9+'الباحه'!K9+'عسير'!K9+'جازان'!K9+'جده'!K9+'الطائف'!K9+'العاصمه'!L9+'القريات'!K9</f>
        <v>7195</v>
      </c>
      <c r="L10" s="95">
        <f>'الرياض'!L9+'المدينه المنوره'!L9+'الشرقيه'!L9+'الحدود الشماليه'!L9+'تبوك'!L9+'الجوف'!L9+'حائل'!L9+'نجران'!L9+'القصيم'!L9+'الباحه'!L9+'عسير'!L9+'جازان'!L9+'جده'!L9+'الطائف'!L9+'العاصمه'!M9+'القريات'!L9</f>
        <v>5988</v>
      </c>
      <c r="M10" s="24">
        <f t="shared" si="14"/>
        <v>47764</v>
      </c>
      <c r="N10" s="95">
        <f>'الرياض'!N9+'المدينه المنوره'!N9+'الشرقيه'!N9+'الحدود الشماليه'!N9+'تبوك'!N9+'الجوف'!N9+'حائل'!N9+'نجران'!N9+'القصيم'!N9+'الباحه'!N9+'عسير'!N9+'جازان'!N9+'جده'!N9+'الطائف'!N9+'العاصمه'!O9+'القريات'!N9</f>
        <v>28023</v>
      </c>
      <c r="O10" s="95">
        <f>'الرياض'!O9+'المدينه المنوره'!O9+'الشرقيه'!O9+'الحدود الشماليه'!O9+'تبوك'!O9+'الجوف'!O9+'حائل'!O9+'نجران'!O9+'القصيم'!O9+'الباحه'!O9+'عسير'!O9+'جازان'!O9+'جده'!O9+'الطائف'!O9+'العاصمه'!P9+'القريات'!O9</f>
        <v>19741</v>
      </c>
      <c r="P10" s="24">
        <f t="shared" si="2"/>
        <v>47764</v>
      </c>
      <c r="Q10" s="95">
        <f>'الرياض'!Q9+'المدينه المنوره'!Q9+'الشرقيه'!Q9+'الحدود الشماليه'!Q9+'تبوك'!Q9+'الجوف'!Q9+'حائل'!Q9+'نجران'!Q9+'القصيم'!Q9+'الباحه'!Q9+'عسير'!Q9+'جازان'!Q9+'جده'!Q9+'الطائف'!Q9+'العاصمه'!R9+'القريات'!Q9</f>
        <v>33884</v>
      </c>
      <c r="R10" s="95">
        <f>'الرياض'!R9+'المدينه المنوره'!R9+'الشرقيه'!R9+'الحدود الشماليه'!R9+'تبوك'!R9+'الجوف'!R9+'حائل'!R9+'نجران'!R9+'القصيم'!R9+'الباحه'!R9+'عسير'!R9+'جازان'!R9+'جده'!R9+'الطائف'!R9+'العاصمه'!S9+'القريات'!R9</f>
        <v>13880</v>
      </c>
      <c r="S10" s="24">
        <f t="shared" si="3"/>
        <v>47764</v>
      </c>
      <c r="T10" s="95">
        <f>'الرياض'!T9+'المدينه المنوره'!T9+'الشرقيه'!T9+'الحدود الشماليه'!T9+'تبوك'!T9+'الجوف'!T9+'حائل'!T9+'نجران'!T9+'القصيم'!T9+'الباحه'!T9+'عسير'!T9+'جازان'!T9+'جده'!T9+'الطائف'!T9+'العاصمه'!U9+'القريات'!T9</f>
        <v>42028</v>
      </c>
      <c r="U10" s="95">
        <f>'الرياض'!U9+'المدينه المنوره'!U9+'الشرقيه'!U9+'الحدود الشماليه'!U9+'تبوك'!U9+'الجوف'!U9+'حائل'!U9+'نجران'!U9+'القصيم'!U9+'الباحه'!U9+'عسير'!U9+'جازان'!U9+'جده'!U9+'الطائف'!U9+'العاصمه'!V9+'القريات'!U9</f>
        <v>10277</v>
      </c>
      <c r="V10" s="95">
        <f>'الرياض'!V9+'المدينه المنوره'!V9+'الشرقيه'!V9+'الحدود الشماليه'!V9+'تبوك'!V9+'الجوف'!V9+'حائل'!V9+'نجران'!V9+'القصيم'!V9+'الباحه'!V9+'عسير'!V9+'جازان'!V9+'جده'!V9+'الطائف'!V9+'العاصمه'!W9+'القريات'!V9</f>
        <v>1022</v>
      </c>
      <c r="W10" s="95">
        <f>'الرياض'!W9+'المدينه المنوره'!W9+'الشرقيه'!W9+'الحدود الشماليه'!W9+'تبوك'!W9+'الجوف'!W9+'حائل'!W9+'نجران'!W9+'القصيم'!W9+'الباحه'!W9+'عسير'!W9+'جازان'!W9+'جده'!W9+'الطائف'!W9+'العاصمه'!X9+'القريات'!W9</f>
        <v>11798</v>
      </c>
      <c r="X10" s="95">
        <f>'الرياض'!X9+'المدينه المنوره'!X9+'الشرقيه'!X9+'الحدود الشماليه'!X9+'تبوك'!X9+'الجوف'!X9+'حائل'!X9+'نجران'!X9+'القصيم'!X9+'الباحه'!X9+'عسير'!X9+'جازان'!X9+'جده'!X9+'الطائف'!X9+'العاصمه'!Y9+'القريات'!X9</f>
        <v>6543</v>
      </c>
      <c r="Y10" s="95">
        <f>'الرياض'!Y9+'المدينه المنوره'!Y9+'الشرقيه'!Y9+'الحدود الشماليه'!Y9+'تبوك'!Y9+'الجوف'!Y9+'حائل'!Y9+'نجران'!Y9+'القصيم'!Y9+'الباحه'!Y9+'عسير'!Y9+'جازان'!Y9+'جده'!Y9+'الطائف'!Y9+'العاصمه'!Z9+'القريات'!Y9</f>
        <v>663</v>
      </c>
      <c r="Z10" s="95">
        <f>'الرياض'!Z9+'المدينه المنوره'!Z9+'الشرقيه'!Z9+'الحدود الشماليه'!Z9+'تبوك'!Z9+'الجوف'!Z9+'حائل'!Z9+'نجران'!Z9+'القصيم'!Z9+'الباحه'!Z9+'عسير'!Z9+'جازان'!Z9+'جده'!Z9+'الطائف'!Z9+'العاصمه'!AA9+'القريات'!Z9</f>
        <v>1853</v>
      </c>
      <c r="AA10" s="24">
        <f t="shared" si="4"/>
        <v>74184</v>
      </c>
      <c r="AB10" s="95">
        <f>'الرياض'!AB9+'المدينه المنوره'!AB9+'الشرقيه'!AB9+'الحدود الشماليه'!AB9+'تبوك'!AB9+'الجوف'!AB9+'حائل'!AB9+'نجران'!AB9+'القصيم'!AB9+'الباحه'!AB9+'عسير'!AB9+'جازان'!AB9+'جده'!AB9+'الطائف'!AB9+'العاصمه'!AC9+'القريات'!AB9</f>
        <v>11731</v>
      </c>
      <c r="AC10" s="95">
        <f>'الرياض'!AC9+'المدينه المنوره'!AC9+'الشرقيه'!AC9+'الحدود الشماليه'!AC9+'تبوك'!AC9+'الجوف'!AC9+'حائل'!AC9+'نجران'!AC9+'القصيم'!AC9+'الباحه'!AC9+'عسير'!AC9+'جازان'!AC9+'جده'!AC9+'الطائف'!AC9+'العاصمه'!AD9+'القريات'!AC9</f>
        <v>32608</v>
      </c>
      <c r="AD10" s="95">
        <f>'الرياض'!AD9+'المدينه المنوره'!AD9+'الشرقيه'!AD9+'الحدود الشماليه'!AD9+'تبوك'!AD9+'الجوف'!AD9+'حائل'!AD9+'نجران'!AD9+'القصيم'!AD9+'الباحه'!AD9+'عسير'!AD9+'جازان'!AD9+'جده'!AD9+'الطائف'!AD9+'العاصمه'!AE9+'القريات'!AD9</f>
        <v>25052</v>
      </c>
      <c r="AE10" s="95">
        <f>'الرياض'!AE9+'المدينه المنوره'!AE9+'الشرقيه'!AE9+'الحدود الشماليه'!AE9+'تبوك'!AE9+'الجوف'!AE9+'حائل'!AE9+'نجران'!AE9+'القصيم'!AE9+'الباحه'!AE9+'عسير'!AE9+'جازان'!AE9+'جده'!AE9+'الطائف'!AE9+'العاصمه'!AF9+'القريات'!AE9</f>
        <v>11158</v>
      </c>
      <c r="AF10" s="95">
        <f>'الرياض'!AF9+'المدينه المنوره'!AF9+'الشرقيه'!AF9+'الحدود الشماليه'!AF9+'تبوك'!AF9+'الجوف'!AF9+'حائل'!AF9+'نجران'!AF9+'القصيم'!AF9+'الباحه'!AF9+'عسير'!AF9+'جازان'!AF9+'جده'!AF9+'الطائف'!AF9+'العاصمه'!AG9+'القريات'!AF9</f>
        <v>6004</v>
      </c>
      <c r="AG10" s="24">
        <f t="shared" si="5"/>
        <v>86553</v>
      </c>
      <c r="AH10" s="95">
        <f>'الرياض'!AH9+'المدينه المنوره'!AH9+'الشرقيه'!AH9+'الحدود الشماليه'!AH9+'تبوك'!AH9+'الجوف'!AH9+'حائل'!AH9+'نجران'!AH9+'القصيم'!AH9+'الباحه'!AH9+'عسير'!AH9+'جازان'!AH9+'جده'!AH9+'الطائف'!AH9+'العاصمه'!AI9+'القريات'!AH9</f>
        <v>53264</v>
      </c>
      <c r="AI10" s="95">
        <f>'الرياض'!AI9+'المدينه المنوره'!AI9+'الشرقيه'!AI9+'الحدود الشماليه'!AI9+'تبوك'!AI9+'الجوف'!AI9+'حائل'!AI9+'نجران'!AI9+'القصيم'!AI9+'الباحه'!AI9+'عسير'!AI9+'جازان'!AI9+'جده'!AI9+'الطائف'!AI9+'العاصمه'!AJ9+'القريات'!AI9</f>
        <v>33289</v>
      </c>
      <c r="AJ10" s="24">
        <f t="shared" si="6"/>
        <v>86553</v>
      </c>
      <c r="AK10" s="95">
        <f>'الرياض'!AK9+'المدينه المنوره'!AK9+'الشرقيه'!AK9+'الحدود الشماليه'!AK9+'تبوك'!AK9+'الجوف'!AK9+'حائل'!AK9+'نجران'!AK9+'القصيم'!AK9+'الباحه'!AK9+'عسير'!AK9+'جازان'!AK9+'جده'!AK9+'الطائف'!AK9+'العاصمه'!AL9+'القريات'!AK9</f>
        <v>46136</v>
      </c>
      <c r="AL10" s="95">
        <f>'الرياض'!AL9+'المدينه المنوره'!AL9+'الشرقيه'!AL9+'الحدود الشماليه'!AL9+'تبوك'!AL9+'الجوف'!AL9+'حائل'!AL9+'نجران'!AL9+'القصيم'!AL9+'الباحه'!AL9+'عسير'!AL9+'جازان'!AL9+'جده'!AL9+'الطائف'!AL9+'العاصمه'!AM9+'القريات'!AL9</f>
        <v>40417</v>
      </c>
      <c r="AM10" s="24">
        <f t="shared" si="7"/>
        <v>86553</v>
      </c>
      <c r="AN10" s="95">
        <f>'الرياض'!AN9+'المدينه المنوره'!AN9+'الشرقيه'!AN9+'الحدود الشماليه'!AN9+'تبوك'!AN9+'الجوف'!AN9+'حائل'!AN9+'نجران'!AN9+'القصيم'!AN9+'الباحه'!AN9+'عسير'!AN9+'جازان'!AN9+'جده'!AN9+'الطائف'!AN9+'العاصمه'!AO9+'القريات'!AN9</f>
        <v>84907</v>
      </c>
      <c r="AO10" s="95">
        <f>'الرياض'!AO9+'المدينه المنوره'!AO9+'الشرقيه'!AO9+'الحدود الشماليه'!AO9+'تبوك'!AO9+'الجوف'!AO9+'حائل'!AO9+'نجران'!AO9+'القصيم'!AO9+'الباحه'!AO9+'عسير'!AO9+'جازان'!AO9+'جده'!AO9+'الطائف'!AO9+'العاصمه'!AP9+'القريات'!AO9</f>
        <v>1646</v>
      </c>
      <c r="AP10" s="24">
        <f t="shared" si="8"/>
        <v>86553</v>
      </c>
      <c r="AQ10" s="95">
        <f>'الرياض'!AQ9+'المدينه المنوره'!AQ9+'الشرقيه'!AQ9+'الحدود الشماليه'!AQ9+'تبوك'!AQ9+'الجوف'!AQ9+'حائل'!AQ9+'نجران'!AQ9+'القصيم'!AQ9+'الباحه'!AQ9+'عسير'!AQ9+'جازان'!AQ9+'جده'!AQ9+'الطائف'!AQ9+'العاصمه'!AR9+'القريات'!AQ9</f>
        <v>57823</v>
      </c>
      <c r="AR10" s="95">
        <f>'الرياض'!AR9+'المدينه المنوره'!AR9+'الشرقيه'!AR9+'الحدود الشماليه'!AR9+'تبوك'!AR9+'الجوف'!AR9+'حائل'!AR9+'نجران'!AR9+'القصيم'!AR9+'الباحه'!AR9+'عسير'!AR9+'جازان'!AR9+'جده'!AR9+'الطائف'!AR9+'العاصمه'!AS9+'القريات'!AR9</f>
        <v>16794</v>
      </c>
      <c r="AS10" s="95">
        <f>'الرياض'!AS9+'المدينه المنوره'!AS9+'الشرقيه'!AS9+'الحدود الشماليه'!AS9+'تبوك'!AS9+'الجوف'!AS9+'حائل'!AS9+'نجران'!AS9+'القصيم'!AS9+'الباحه'!AS9+'عسير'!AS9+'جازان'!AS9+'جده'!AS9+'الطائف'!AS9+'العاصمه'!AT9+'القريات'!AS9</f>
        <v>150</v>
      </c>
      <c r="AT10" s="95">
        <f>'الرياض'!AT9+'المدينه المنوره'!AT9+'الشرقيه'!AT9+'الحدود الشماليه'!AT9+'تبوك'!AT9+'الجوف'!AT9+'حائل'!AT9+'نجران'!AT9+'القصيم'!AT9+'الباحه'!AT9+'عسير'!AT9+'جازان'!AT9+'جده'!AT9+'الطائف'!AT9+'العاصمه'!AU9+'القريات'!AT9</f>
        <v>219</v>
      </c>
      <c r="AU10" s="95">
        <f>'الرياض'!AU9+'المدينه المنوره'!AU9+'الشرقيه'!AU9+'الحدود الشماليه'!AU9+'تبوك'!AU9+'الجوف'!AU9+'حائل'!AU9+'نجران'!AU9+'القصيم'!AU9+'الباحه'!AU9+'عسير'!AU9+'جازان'!AU9+'جده'!AU9+'الطائف'!AU9+'العاصمه'!AV9+'القريات'!AU9</f>
        <v>11567</v>
      </c>
      <c r="AV10" s="24">
        <f t="shared" si="15"/>
        <v>86553</v>
      </c>
      <c r="AW10" s="24">
        <f t="shared" si="9"/>
        <v>11567</v>
      </c>
      <c r="AX10" s="95">
        <f>'الرياض'!AX9+'المدينه المنوره'!AX9+'الشرقيه'!AX9+'الحدود الشماليه'!AX9+'تبوك'!AX9+'الجوف'!AX9+'حائل'!AX9+'نجران'!AX9+'القصيم'!AX9+'الباحه'!AX9+'عسير'!AX9+'جازان'!AX9+'جده'!AX9+'الطائف'!AX9+'العاصمه'!AY9+'القريات'!AX9</f>
        <v>66276</v>
      </c>
      <c r="AY10" s="95">
        <f>'الرياض'!AY9+'المدينه المنوره'!AY9+'الشرقيه'!AY9+'الحدود الشماليه'!AY9+'تبوك'!AY9+'الجوف'!AY9+'حائل'!AY9+'نجران'!AY9+'القصيم'!AY9+'الباحه'!AY9+'عسير'!AY9+'جازان'!AY9+'جده'!AY9+'الطائف'!AY9+'العاصمه'!AZ9+'القريات'!AY9</f>
        <v>8710</v>
      </c>
      <c r="AZ10" s="95">
        <f t="shared" si="10"/>
        <v>86553</v>
      </c>
      <c r="BA10" s="95">
        <f>'الرياض'!BA9+'المدينه المنوره'!BA9+'الشرقيه'!BA9+'الحدود الشماليه'!BA9+'تبوك'!BA9+'الجوف'!BA9+'حائل'!BA9+'نجران'!BA9+'القصيم'!BA9+'الباحه'!BA9+'عسير'!BA9+'جازان'!BA9+'جده'!BA9+'الطائف'!BA9+'العاصمه'!BB9+'القريات'!BA9</f>
        <v>35818</v>
      </c>
      <c r="BB10" s="95">
        <f>'الرياض'!BB9+'المدينه المنوره'!BB9+'الشرقيه'!BB9+'الحدود الشماليه'!BB9+'تبوك'!BB9+'الجوف'!BB9+'حائل'!BB9+'نجران'!BB9+'القصيم'!BB9+'الباحه'!BB9+'عسير'!BB9+'جازان'!BB9+'جده'!BB9+'الطائف'!BB9+'العاصمه'!BC9+'القريات'!$BB9</f>
        <v>4620</v>
      </c>
      <c r="BC10" s="95">
        <f>'الرياض'!BC9+'المدينه المنوره'!BC9+'الشرقيه'!BC9+'الحدود الشماليه'!BC9+'تبوك'!BC9+'الجوف'!BC9+'حائل'!BC9+'نجران'!BC9+'القصيم'!BC9+'الباحه'!BC9+'عسير'!BC9+'جازان'!BC9+'جده'!BC9+'الطائف'!BC9+'العاصمه'!BD9+'القريات'!BC9</f>
        <v>715</v>
      </c>
      <c r="BD10" s="95">
        <f>'الرياض'!BD9+'المدينه المنوره'!BD9+'الشرقيه'!BD9+'الحدود الشماليه'!BD9+'تبوك'!BD9+'الجوف'!BD9+'حائل'!BD9+'نجران'!BD9+'القصيم'!BD9+'الباحه'!BD9+'عسير'!BD9+'جازان'!BD9+'جده'!BD9+'الطائف'!BD9+'العاصمه'!BE9+'القريات'!BD9</f>
        <v>51</v>
      </c>
      <c r="BE10" s="95">
        <f>'الرياض'!BE9+'المدينه المنوره'!BE9+'الشرقيه'!BE9+'الحدود الشماليه'!BE9+'تبوك'!BE9+'الجوف'!BE9+'حائل'!BE9+'نجران'!BE9+'القصيم'!BE9+'الباحه'!BE9+'عسير'!BE9+'جازان'!BE9+'جده'!BE9+'الطائف'!BE9+'العاصمه'!BF9+'القريات'!BE9</f>
        <v>31</v>
      </c>
      <c r="BF10" s="95">
        <f>'الرياض'!BF9+'المدينه المنوره'!BF9+'الشرقيه'!BF9+'الحدود الشماليه'!BF9+'تبوك'!BF9+'الجوف'!BF9+'حائل'!BF9+'نجران'!BF9+'القصيم'!BF9+'الباحه'!BF9+'عسير'!BF9+'جازان'!BF9+'جده'!BF9+'الطائف'!BF9+'العاصمه'!BG9+'القريات'!BF9</f>
        <v>1684</v>
      </c>
      <c r="BG10" s="95">
        <f>'الرياض'!BG9+'المدينه المنوره'!BG9+'الشرقيه'!BG9+'الحدود الشماليه'!BG9+'تبوك'!BG9+'الجوف'!BG9+'حائل'!BG9+'نجران'!BG9+'القصيم'!BG9+'الباحه'!BG9+'عسير'!BG9+'جازان'!BG9+'جده'!BG9+'الطائف'!BG9+'العاصمه'!BH9+'القريات'!BG9</f>
        <v>2429</v>
      </c>
      <c r="BH10" s="95">
        <f>'الرياض'!BH9+'المدينه المنوره'!BH9+'الشرقيه'!BH9+'الحدود الشماليه'!BH9+'تبوك'!BH9+'الجوف'!BH9+'حائل'!BH9+'نجران'!BH9+'القصيم'!BH9+'الباحه'!BH9+'عسير'!BH9+'جازان'!BH9+'جده'!BH9+'الطائف'!BH9+'العاصمه'!BI9+'القريات'!BH9</f>
        <v>2416</v>
      </c>
      <c r="BI10" s="95">
        <f t="shared" si="11"/>
        <v>47764</v>
      </c>
      <c r="BJ10" s="95">
        <f>'الرياض'!BJ9+'المدينه المنوره'!BJ9+'الشرقيه'!BJ9+'الحدود الشماليه'!BJ9+'تبوك'!BJ9+'الجوف'!BJ9+'حائل'!BJ9+'نجران'!BJ9+'القصيم'!BJ9+'الباحه'!BJ9+'عسير'!BJ9+'جازان'!BJ9+'جده'!BJ9+'الطائف'!BJ9+'العاصمه'!BK9+'القريات'!BJ9</f>
        <v>5170</v>
      </c>
      <c r="BK10" s="95">
        <f>'الرياض'!BK9+'المدينه المنوره'!BK9+'الشرقيه'!BK9+'الحدود الشماليه'!BK9+'تبوك'!BK9+'الجوف'!BK9+'حائل'!BK9+'نجران'!BK9+'القصيم'!BK9+'الباحه'!BK9+'عسير'!BK9+'جازان'!BK9+'جده'!BK9+'الطائف'!BK9+'العاصمه'!BL9+'القريات'!BK9</f>
        <v>3589</v>
      </c>
      <c r="BL10" s="95">
        <f>'الرياض'!BL9+'المدينه المنوره'!BL9+'الشرقيه'!BL9+'الحدود الشماليه'!BL9+'تبوك'!BL9+'الجوف'!BL9+'حائل'!BL9+'نجران'!BL9+'القصيم'!BL9+'الباحه'!BL9+'عسير'!BL9+'جازان'!BL9+'جده'!BL9+'الطائف'!BL9+'العاصمه'!BM9+'القريات'!BL9</f>
        <v>5095</v>
      </c>
      <c r="BM10" s="95">
        <f>'الرياض'!BM9+'المدينه المنوره'!BM9+'الشرقيه'!BM9+'الحدود الشماليه'!BM9+'تبوك'!BM9+'الجوف'!BM9+'حائل'!BM9+'نجران'!BM9+'القصيم'!BM9+'الباحه'!BM9+'عسير'!BM9+'جازان'!BM9+'جده'!BM9+'الطائف'!BM9+'العاصمه'!BN9+'القريات'!BM9</f>
        <v>3835</v>
      </c>
      <c r="BN10" s="95">
        <f>'الرياض'!BN9+'المدينه المنوره'!BN9+'الشرقيه'!BN9+'الحدود الشماليه'!BN9+'تبوك'!BN9+'الجوف'!BN9+'حائل'!BN9+'نجران'!BN9+'القصيم'!BN9+'الباحه'!BN9+'عسير'!BN9+'جازان'!BN9+'جده'!BN9+'الطائف'!BN9+'العاصمه'!BO9+'القريات'!BN9</f>
        <v>12714</v>
      </c>
      <c r="BO10" s="95">
        <f>'الرياض'!BO9+'المدينه المنوره'!BO9+'الشرقيه'!BO9+'الحدود الشماليه'!BO9+'تبوك'!BO9+'الجوف'!BO9+'حائل'!BO9+'نجران'!BO9+'القصيم'!BO9+'الباحه'!BO9+'عسير'!BO9+'جازان'!BO9+'جده'!BO9+'الطائف'!BO9+'العاصمه'!BP9+'القريات'!BO9</f>
        <v>5</v>
      </c>
      <c r="BP10" s="95">
        <f>'الرياض'!BP9+'المدينه المنوره'!BP9+'الشرقيه'!BP9+'الحدود الشماليه'!BP9+'تبوك'!BP9+'الجوف'!BP9+'حائل'!BP9+'نجران'!BP9+'القصيم'!BP9+'الباحه'!BP9+'عسير'!BP9+'جازان'!BP9+'جده'!BP9+'الطائف'!BP9+'العاصمه'!BQ9+'القريات'!BP9</f>
        <v>17356</v>
      </c>
      <c r="BQ10" s="24">
        <f t="shared" si="12"/>
        <v>47764</v>
      </c>
      <c r="BR10" s="97">
        <f>'الرياض'!BR9+'المدينه المنوره'!BR9+'الشرقيه'!BR9+'الحدود الشماليه'!BR9+'تبوك'!BR9+'الجوف'!BR9+'حائل'!BR9+'نجران'!BR9+'القصيم'!BR9+'الباحه'!BR9+'عسير'!BR9+'جازان'!BR9+'جده'!BR9+'الطائف'!BR9+'العاصمه'!BS9+'القريات'!BR9</f>
        <v>3183</v>
      </c>
      <c r="BS10" s="97">
        <f>'الرياض'!BS9+'المدينه المنوره'!BS9+'الشرقيه'!BS9+'الحدود الشماليه'!BS9+'تبوك'!BS9+'الجوف'!BS9+'حائل'!BS9+'نجران'!BS9+'القصيم'!BS9+'الباحه'!BS9+'عسير'!BS9+'جازان'!BS9+'جده'!BS9+'الطائف'!BS9+'العاصمه'!BT9+'القريات'!BS9</f>
        <v>674</v>
      </c>
      <c r="BT10" s="97">
        <f>'الرياض'!BT9+'المدينه المنوره'!BT9+'الشرقيه'!BT9+'الحدود الشماليه'!BT9+'تبوك'!BT9+'الجوف'!BT9+'حائل'!BT9+'نجران'!BT9+'القصيم'!BT9+'الباحه'!BT9+'عسير'!BT9+'جازان'!BT9+'جده'!BT9+'الطائف'!BT9+'العاصمه'!BU9+'القريات'!BT9</f>
        <v>87935</v>
      </c>
      <c r="BU10" s="98">
        <f t="shared" si="13"/>
        <v>91792</v>
      </c>
    </row>
    <row r="11" ht="24.0" customHeight="1">
      <c r="A11" s="24" t="s">
        <v>77</v>
      </c>
      <c r="B11" s="97">
        <f>'الرياض'!B10+'المدينه المنوره'!B10+'الشرقيه'!B10+'الحدود الشماليه'!B10+'تبوك'!B10+'الجوف'!B10+'حائل'!B10+'نجران'!B10+'القصيم'!B10+'الباحه'!B10+'عسير'!B10+'جازان'!B10+'جده'!B10+'الطائف'!B10+'العاصمه'!C10+'القريات'!B10</f>
        <v>37315</v>
      </c>
      <c r="C11" s="97">
        <f>'الرياض'!C10+'المدينه المنوره'!C10+'الشرقيه'!C10+'الحدود الشماليه'!C10+'تبوك'!C10+'الجوف'!C10+'حائل'!C10+'نجران'!C10+'القصيم'!C10+'الباحه'!C10+'عسير'!C10+'جازان'!C10+'جده'!C10+'الطائف'!C10+'العاصمه'!D10+'القريات'!C10</f>
        <v>1934</v>
      </c>
      <c r="D11" s="97">
        <f>'الرياض'!D10+'المدينه المنوره'!D10+'الشرقيه'!D10+'الحدود الشماليه'!D10+'تبوك'!D10+'الجوف'!D10+'حائل'!D10+'نجران'!D10+'القصيم'!D10+'الباحه'!D10+'عسير'!D10+'جازان'!D10+'جده'!D10+'الطائف'!D10+'العاصمه'!E10+'القريات'!D10</f>
        <v>689</v>
      </c>
      <c r="E11" s="98">
        <f t="shared" si="1"/>
        <v>39938</v>
      </c>
      <c r="F11" s="95">
        <f>'الرياض'!F10+'المدينه المنوره'!F10+'الشرقيه'!F10+'الحدود الشماليه'!F10+'تبوك'!F10+'الجوف'!F10+'حائل'!F10+'نجران'!F10+'القصيم'!F10+'الباحه'!F10+'عسير'!F10+'جازان'!F10+'جده'!F10+'الطائف'!F10+'العاصمه'!G10+'القريات'!F10</f>
        <v>5518</v>
      </c>
      <c r="G11" s="95">
        <f>'الرياض'!G10+'المدينه المنوره'!G10+'الشرقيه'!G10+'الحدود الشماليه'!G10+'تبوك'!G10+'الجوف'!G10+'حائل'!G10+'نجران'!G10+'القصيم'!G10+'الباحه'!G10+'عسير'!G10+'جازان'!G10+'جده'!G10+'الطائف'!G10+'العاصمه'!H10+'القريات'!G10</f>
        <v>6301</v>
      </c>
      <c r="H11" s="95">
        <f>'الرياض'!H10+'المدينه المنوره'!H10+'الشرقيه'!H10+'الحدود الشماليه'!H10+'تبوك'!H10+'الجوف'!H10+'حائل'!H10+'نجران'!H10+'القصيم'!H10+'الباحه'!H10+'عسير'!H10+'جازان'!H10+'جده'!H10+'الطائف'!H10+'العاصمه'!I10+'القريات'!H10</f>
        <v>6261</v>
      </c>
      <c r="I11" s="95">
        <f>'الرياض'!I10+'المدينه المنوره'!I10+'الشرقيه'!I10+'الحدود الشماليه'!I10+'تبوك'!I10+'الجوف'!I10+'حائل'!I10+'نجران'!I10+'القصيم'!I10+'الباحه'!I10+'عسير'!I10+'جازان'!I10+'جده'!I10+'الطائف'!I10+'العاصمه'!J10+'القريات'!I10</f>
        <v>5846</v>
      </c>
      <c r="J11" s="95">
        <f>'الرياض'!J10+'المدينه المنوره'!J10+'الشرقيه'!J10+'الحدود الشماليه'!J10+'تبوك'!J10+'الجوف'!J10+'حائل'!J10+'نجران'!J10+'القصيم'!J10+'الباحه'!J10+'عسير'!J10+'جازان'!J10+'جده'!J10+'الطائف'!J10+'العاصمه'!K10+'القريات'!J10</f>
        <v>5313</v>
      </c>
      <c r="K11" s="95">
        <f>'الرياض'!K10+'المدينه المنوره'!K10+'الشرقيه'!K10+'الحدود الشماليه'!K10+'تبوك'!K10+'الجوف'!K10+'حائل'!K10+'نجران'!K10+'القصيم'!K10+'الباحه'!K10+'عسير'!K10+'جازان'!K10+'جده'!K10+'الطائف'!K10+'العاصمه'!L10+'القريات'!K10</f>
        <v>5669</v>
      </c>
      <c r="L11" s="95">
        <f>'الرياض'!L10+'المدينه المنوره'!L10+'الشرقيه'!L10+'الحدود الشماليه'!L10+'تبوك'!L10+'الجوف'!L10+'حائل'!L10+'نجران'!L10+'القصيم'!L10+'الباحه'!L10+'عسير'!L10+'جازان'!L10+'جده'!L10+'الطائف'!L10+'العاصمه'!M10+'القريات'!L10</f>
        <v>5030</v>
      </c>
      <c r="M11" s="24">
        <f t="shared" si="14"/>
        <v>39938</v>
      </c>
      <c r="N11" s="95">
        <f>'الرياض'!N10+'المدينه المنوره'!N10+'الشرقيه'!N10+'الحدود الشماليه'!N10+'تبوك'!N10+'الجوف'!N10+'حائل'!N10+'نجران'!N10+'القصيم'!N10+'الباحه'!N10+'عسير'!N10+'جازان'!N10+'جده'!N10+'الطائف'!N10+'العاصمه'!O10+'القريات'!N10</f>
        <v>20603</v>
      </c>
      <c r="O11" s="95">
        <f>'الرياض'!O10+'المدينه المنوره'!O10+'الشرقيه'!O10+'الحدود الشماليه'!O10+'تبوك'!O10+'الجوف'!O10+'حائل'!O10+'نجران'!O10+'القصيم'!O10+'الباحه'!O10+'عسير'!O10+'جازان'!O10+'جده'!O10+'الطائف'!O10+'العاصمه'!P10+'القريات'!O10</f>
        <v>19335</v>
      </c>
      <c r="P11" s="24">
        <f t="shared" si="2"/>
        <v>39938</v>
      </c>
      <c r="Q11" s="95">
        <f>'الرياض'!Q10+'المدينه المنوره'!Q10+'الشرقيه'!Q10+'الحدود الشماليه'!Q10+'تبوك'!Q10+'الجوف'!Q10+'حائل'!Q10+'نجران'!Q10+'القصيم'!Q10+'الباحه'!Q10+'عسير'!Q10+'جازان'!Q10+'جده'!Q10+'الطائف'!Q10+'العاصمه'!R10+'القريات'!Q10</f>
        <v>27277</v>
      </c>
      <c r="R11" s="95">
        <f>'الرياض'!R10+'المدينه المنوره'!R10+'الشرقيه'!R10+'الحدود الشماليه'!R10+'تبوك'!R10+'الجوف'!R10+'حائل'!R10+'نجران'!R10+'القصيم'!R10+'الباحه'!R10+'عسير'!R10+'جازان'!R10+'جده'!R10+'الطائف'!R10+'العاصمه'!S10+'القريات'!R10</f>
        <v>12661</v>
      </c>
      <c r="S11" s="24">
        <f t="shared" si="3"/>
        <v>39938</v>
      </c>
      <c r="T11" s="95">
        <f>'الرياض'!T10+'المدينه المنوره'!T10+'الشرقيه'!T10+'الحدود الشماليه'!T10+'تبوك'!T10+'الجوف'!T10+'حائل'!T10+'نجران'!T10+'القصيم'!T10+'الباحه'!T10+'عسير'!T10+'جازان'!T10+'جده'!T10+'الطائف'!T10+'العاصمه'!U10+'القريات'!T10</f>
        <v>36372</v>
      </c>
      <c r="U11" s="95">
        <f>'الرياض'!U10+'المدينه المنوره'!U10+'الشرقيه'!U10+'الحدود الشماليه'!U10+'تبوك'!U10+'الجوف'!U10+'حائل'!U10+'نجران'!U10+'القصيم'!U10+'الباحه'!U10+'عسير'!U10+'جازان'!U10+'جده'!U10+'الطائف'!U10+'العاصمه'!V10+'القريات'!U10</f>
        <v>10576</v>
      </c>
      <c r="V11" s="95">
        <f>'الرياض'!V10+'المدينه المنوره'!V10+'الشرقيه'!V10+'الحدود الشماليه'!V10+'تبوك'!V10+'الجوف'!V10+'حائل'!V10+'نجران'!V10+'القصيم'!V10+'الباحه'!V10+'عسير'!V10+'جازان'!V10+'جده'!V10+'الطائف'!V10+'العاصمه'!W10+'القريات'!V10</f>
        <v>991</v>
      </c>
      <c r="W11" s="95">
        <f>'الرياض'!W10+'المدينه المنوره'!W10+'الشرقيه'!W10+'الحدود الشماليه'!W10+'تبوك'!W10+'الجوف'!W10+'حائل'!W10+'نجران'!W10+'القصيم'!W10+'الباحه'!W10+'عسير'!W10+'جازان'!W10+'جده'!W10+'الطائف'!W10+'العاصمه'!X10+'القريات'!W10</f>
        <v>10525</v>
      </c>
      <c r="X11" s="95">
        <f>'الرياض'!X10+'المدينه المنوره'!X10+'الشرقيه'!X10+'الحدود الشماليه'!X10+'تبوك'!X10+'الجوف'!X10+'حائل'!X10+'نجران'!X10+'القصيم'!X10+'الباحه'!X10+'عسير'!X10+'جازان'!X10+'جده'!X10+'الطائف'!X10+'العاصمه'!Y10+'القريات'!X10</f>
        <v>6484</v>
      </c>
      <c r="Y11" s="95">
        <f>'الرياض'!Y10+'المدينه المنوره'!Y10+'الشرقيه'!Y10+'الحدود الشماليه'!Y10+'تبوك'!Y10+'الجوف'!Y10+'حائل'!Y10+'نجران'!Y10+'القصيم'!Y10+'الباحه'!Y10+'عسير'!Y10+'جازان'!Y10+'جده'!Y10+'الطائف'!Y10+'العاصمه'!Z10+'القريات'!Y10</f>
        <v>503</v>
      </c>
      <c r="Z11" s="95">
        <f>'الرياض'!Z10+'المدينه المنوره'!Z10+'الشرقيه'!Z10+'الحدود الشماليه'!Z10+'تبوك'!Z10+'الجوف'!Z10+'حائل'!Z10+'نجران'!Z10+'القصيم'!Z10+'الباحه'!Z10+'عسير'!Z10+'جازان'!Z10+'جده'!Z10+'الطائف'!Z10+'العاصمه'!AA10+'القريات'!Z10</f>
        <v>2077</v>
      </c>
      <c r="AA11" s="24">
        <f t="shared" si="4"/>
        <v>67528</v>
      </c>
      <c r="AB11" s="95">
        <f>'الرياض'!AB10+'المدينه المنوره'!AB10+'الشرقيه'!AB10+'الحدود الشماليه'!AB10+'تبوك'!AB10+'الجوف'!AB10+'حائل'!AB10+'نجران'!AB10+'القصيم'!AB10+'الباحه'!AB10+'عسير'!AB10+'جازان'!AB10+'جده'!AB10+'الطائف'!AB10+'العاصمه'!AC10+'القريات'!AB10</f>
        <v>8490</v>
      </c>
      <c r="AC11" s="95">
        <f>'الرياض'!AC10+'المدينه المنوره'!AC10+'الشرقيه'!AC10+'الحدود الشماليه'!AC10+'تبوك'!AC10+'الجوف'!AC10+'حائل'!AC10+'نجران'!AC10+'القصيم'!AC10+'الباحه'!AC10+'عسير'!AC10+'جازان'!AC10+'جده'!AC10+'الطائف'!AC10+'العاصمه'!AD10+'القريات'!AC10</f>
        <v>24175</v>
      </c>
      <c r="AD11" s="95">
        <f>'الرياض'!AD10+'المدينه المنوره'!AD10+'الشرقيه'!AD10+'الحدود الشماليه'!AD10+'تبوك'!AD10+'الجوف'!AD10+'حائل'!AD10+'نجران'!AD10+'القصيم'!AD10+'الباحه'!AD10+'عسير'!AD10+'جازان'!AD10+'جده'!AD10+'الطائف'!AD10+'العاصمه'!AE10+'القريات'!AD10</f>
        <v>24087</v>
      </c>
      <c r="AE11" s="95">
        <f>'الرياض'!AE10+'المدينه المنوره'!AE10+'الشرقيه'!AE10+'الحدود الشماليه'!AE10+'تبوك'!AE10+'الجوف'!AE10+'حائل'!AE10+'نجران'!AE10+'القصيم'!AE10+'الباحه'!AE10+'عسير'!AE10+'جازان'!AE10+'جده'!AE10+'الطائف'!AE10+'العاصمه'!AF10+'القريات'!AE10</f>
        <v>12551</v>
      </c>
      <c r="AF11" s="95">
        <f>'الرياض'!AF10+'المدينه المنوره'!AF10+'الشرقيه'!AF10+'الحدود الشماليه'!AF10+'تبوك'!AF10+'الجوف'!AF10+'حائل'!AF10+'نجران'!AF10+'القصيم'!AF10+'الباحه'!AF10+'عسير'!AF10+'جازان'!AF10+'جده'!AF10+'الطائف'!AF10+'العاصمه'!AG10+'القريات'!AF10</f>
        <v>6906</v>
      </c>
      <c r="AG11" s="24">
        <f t="shared" si="5"/>
        <v>76209</v>
      </c>
      <c r="AH11" s="95">
        <f>'الرياض'!AH10+'المدينه المنوره'!AH10+'الشرقيه'!AH10+'الحدود الشماليه'!AH10+'تبوك'!AH10+'الجوف'!AH10+'حائل'!AH10+'نجران'!AH10+'القصيم'!AH10+'الباحه'!AH10+'عسير'!AH10+'جازان'!AH10+'جده'!AH10+'الطائف'!AH10+'العاصمه'!AI10+'القريات'!AH10</f>
        <v>46599</v>
      </c>
      <c r="AI11" s="95">
        <f>'الرياض'!AI10+'المدينه المنوره'!AI10+'الشرقيه'!AI10+'الحدود الشماليه'!AI10+'تبوك'!AI10+'الجوف'!AI10+'حائل'!AI10+'نجران'!AI10+'القصيم'!AI10+'الباحه'!AI10+'عسير'!AI10+'جازان'!AI10+'جده'!AI10+'الطائف'!AI10+'العاصمه'!AJ10+'القريات'!AI10</f>
        <v>29610</v>
      </c>
      <c r="AJ11" s="24">
        <f t="shared" si="6"/>
        <v>76209</v>
      </c>
      <c r="AK11" s="95">
        <f>'الرياض'!AK10+'المدينه المنوره'!AK10+'الشرقيه'!AK10+'الحدود الشماليه'!AK10+'تبوك'!AK10+'الجوف'!AK10+'حائل'!AK10+'نجران'!AK10+'القصيم'!AK10+'الباحه'!AK10+'عسير'!AK10+'جازان'!AK10+'جده'!AK10+'الطائف'!AK10+'العاصمه'!AL10+'القريات'!AK10</f>
        <v>46397</v>
      </c>
      <c r="AL11" s="95">
        <f>'الرياض'!AL10+'المدينه المنوره'!AL10+'الشرقيه'!AL10+'الحدود الشماليه'!AL10+'تبوك'!AL10+'الجوف'!AL10+'حائل'!AL10+'نجران'!AL10+'القصيم'!AL10+'الباحه'!AL10+'عسير'!AL10+'جازان'!AL10+'جده'!AL10+'الطائف'!AL10+'العاصمه'!AM10+'القريات'!AL10</f>
        <v>29812</v>
      </c>
      <c r="AM11" s="24">
        <f t="shared" si="7"/>
        <v>76209</v>
      </c>
      <c r="AN11" s="95">
        <f>'الرياض'!AN10+'المدينه المنوره'!AN10+'الشرقيه'!AN10+'الحدود الشماليه'!AN10+'تبوك'!AN10+'الجوف'!AN10+'حائل'!AN10+'نجران'!AN10+'القصيم'!AN10+'الباحه'!AN10+'عسير'!AN10+'جازان'!AN10+'جده'!AN10+'الطائف'!AN10+'العاصمه'!AO10+'القريات'!AN10</f>
        <v>74473</v>
      </c>
      <c r="AO11" s="95">
        <f>'الرياض'!AO10+'المدينه المنوره'!AO10+'الشرقيه'!AO10+'الحدود الشماليه'!AO10+'تبوك'!AO10+'الجوف'!AO10+'حائل'!AO10+'نجران'!AO10+'القصيم'!AO10+'الباحه'!AO10+'عسير'!AO10+'جازان'!AO10+'جده'!AO10+'الطائف'!AO10+'العاصمه'!AP10+'القريات'!AO10</f>
        <v>1736</v>
      </c>
      <c r="AP11" s="24">
        <f t="shared" si="8"/>
        <v>76209</v>
      </c>
      <c r="AQ11" s="95">
        <f>'الرياض'!AQ10+'المدينه المنوره'!AQ10+'الشرقيه'!AQ10+'الحدود الشماليه'!AQ10+'تبوك'!AQ10+'الجوف'!AQ10+'حائل'!AQ10+'نجران'!AQ10+'القصيم'!AQ10+'الباحه'!AQ10+'عسير'!AQ10+'جازان'!AQ10+'جده'!AQ10+'الطائف'!AQ10+'العاصمه'!AR10+'القريات'!AQ10</f>
        <v>50367</v>
      </c>
      <c r="AR11" s="95">
        <f>'الرياض'!AR10+'المدينه المنوره'!AR10+'الشرقيه'!AR10+'الحدود الشماليه'!AR10+'تبوك'!AR10+'الجوف'!AR10+'حائل'!AR10+'نجران'!AR10+'القصيم'!AR10+'الباحه'!AR10+'عسير'!AR10+'جازان'!AR10+'جده'!AR10+'الطائف'!AR10+'العاصمه'!AS10+'القريات'!AR10</f>
        <v>17040</v>
      </c>
      <c r="AS11" s="95">
        <f>'الرياض'!AS10+'المدينه المنوره'!AS10+'الشرقيه'!AS10+'الحدود الشماليه'!AS10+'تبوك'!AS10+'الجوف'!AS10+'حائل'!AS10+'نجران'!AS10+'القصيم'!AS10+'الباحه'!AS10+'عسير'!AS10+'جازان'!AS10+'جده'!AS10+'الطائف'!AS10+'العاصمه'!AT10+'القريات'!AS10</f>
        <v>303</v>
      </c>
      <c r="AT11" s="95">
        <f>'الرياض'!AT10+'المدينه المنوره'!AT10+'الشرقيه'!AT10+'الحدود الشماليه'!AT10+'تبوك'!AT10+'الجوف'!AT10+'حائل'!AT10+'نجران'!AT10+'القصيم'!AT10+'الباحه'!AT10+'عسير'!AT10+'جازان'!AT10+'جده'!AT10+'الطائف'!AT10+'العاصمه'!AU10+'القريات'!AT10</f>
        <v>704</v>
      </c>
      <c r="AU11" s="95">
        <f>'الرياض'!AU10+'المدينه المنوره'!AU10+'الشرقيه'!AU10+'الحدود الشماليه'!AU10+'تبوك'!AU10+'الجوف'!AU10+'حائل'!AU10+'نجران'!AU10+'القصيم'!AU10+'الباحه'!AU10+'عسير'!AU10+'جازان'!AU10+'جده'!AU10+'الطائف'!AU10+'العاصمه'!AV10+'القريات'!AU10</f>
        <v>7795</v>
      </c>
      <c r="AV11" s="24">
        <f t="shared" si="15"/>
        <v>76209</v>
      </c>
      <c r="AW11" s="24">
        <f t="shared" si="9"/>
        <v>7795</v>
      </c>
      <c r="AX11" s="95">
        <f>'الرياض'!AX10+'المدينه المنوره'!AX10+'الشرقيه'!AX10+'الحدود الشماليه'!AX10+'تبوك'!AX10+'الجوف'!AX10+'حائل'!AX10+'نجران'!AX10+'القصيم'!AX10+'الباحه'!AX10+'عسير'!AX10+'جازان'!AX10+'جده'!AX10+'الطائف'!AX10+'العاصمه'!AY10+'القريات'!AX10</f>
        <v>59750</v>
      </c>
      <c r="AY11" s="95">
        <f>'الرياض'!AY10+'المدينه المنوره'!AY10+'الشرقيه'!AY10+'الحدود الشماليه'!AY10+'تبوك'!AY10+'الجوف'!AY10+'حائل'!AY10+'نجران'!AY10+'القصيم'!AY10+'الباحه'!AY10+'عسير'!AY10+'جازان'!AY10+'جده'!AY10+'الطائف'!AY10+'العاصمه'!AZ10+'القريات'!AY10</f>
        <v>8664</v>
      </c>
      <c r="AZ11" s="95">
        <f t="shared" si="10"/>
        <v>76209</v>
      </c>
      <c r="BA11" s="95">
        <f>'الرياض'!BA10+'المدينه المنوره'!BA10+'الشرقيه'!BA10+'الحدود الشماليه'!BA10+'تبوك'!BA10+'الجوف'!BA10+'حائل'!BA10+'نجران'!BA10+'القصيم'!BA10+'الباحه'!BA10+'عسير'!BA10+'جازان'!BA10+'جده'!BA10+'الطائف'!BA10+'العاصمه'!BB10+'القريات'!BA10</f>
        <v>27421</v>
      </c>
      <c r="BB11" s="95">
        <f>'الرياض'!BB10+'المدينه المنوره'!BB10+'الشرقيه'!BB10+'الحدود الشماليه'!BB10+'تبوك'!BB10+'الجوف'!BB10+'حائل'!BB10+'نجران'!BB10+'القصيم'!BB10+'الباحه'!BB10+'عسير'!BB10+'جازان'!BB10+'جده'!BB10+'الطائف'!BB10+'العاصمه'!BC10+'القريات'!$BB10</f>
        <v>4256</v>
      </c>
      <c r="BC11" s="95">
        <f>'الرياض'!BC10+'المدينه المنوره'!BC10+'الشرقيه'!BC10+'الحدود الشماليه'!BC10+'تبوك'!BC10+'الجوف'!BC10+'حائل'!BC10+'نجران'!BC10+'القصيم'!BC10+'الباحه'!BC10+'عسير'!BC10+'جازان'!BC10+'جده'!BC10+'الطائف'!BC10+'العاصمه'!BD10+'القريات'!BC10</f>
        <v>681</v>
      </c>
      <c r="BD11" s="95">
        <f>'الرياض'!BD10+'المدينه المنوره'!BD10+'الشرقيه'!BD10+'الحدود الشماليه'!BD10+'تبوك'!BD10+'الجوف'!BD10+'حائل'!BD10+'نجران'!BD10+'القصيم'!BD10+'الباحه'!BD10+'عسير'!BD10+'جازان'!BD10+'جده'!BD10+'الطائف'!BD10+'العاصمه'!BE10+'القريات'!BD10</f>
        <v>75</v>
      </c>
      <c r="BE11" s="95">
        <f>'الرياض'!BE10+'المدينه المنوره'!BE10+'الشرقيه'!BE10+'الحدود الشماليه'!BE10+'تبوك'!BE10+'الجوف'!BE10+'حائل'!BE10+'نجران'!BE10+'القصيم'!BE10+'الباحه'!BE10+'عسير'!BE10+'جازان'!BE10+'جده'!BE10+'الطائف'!BE10+'العاصمه'!BF10+'القريات'!BE10</f>
        <v>89</v>
      </c>
      <c r="BF11" s="95">
        <f>'الرياض'!BF10+'المدينه المنوره'!BF10+'الشرقيه'!BF10+'الحدود الشماليه'!BF10+'تبوك'!BF10+'الجوف'!BF10+'حائل'!BF10+'نجران'!BF10+'القصيم'!BF10+'الباحه'!BF10+'عسير'!BF10+'جازان'!BF10+'جده'!BF10+'الطائف'!BF10+'العاصمه'!BG10+'القريات'!BF10</f>
        <v>2034</v>
      </c>
      <c r="BG11" s="95">
        <f>'الرياض'!BG10+'المدينه المنوره'!BG10+'الشرقيه'!BG10+'الحدود الشماليه'!BG10+'تبوك'!BG10+'الجوف'!BG10+'حائل'!BG10+'نجران'!BG10+'القصيم'!BG10+'الباحه'!BG10+'عسير'!BG10+'جازان'!BG10+'جده'!BG10+'الطائف'!BG10+'العاصمه'!BH10+'القريات'!BG10</f>
        <v>3502</v>
      </c>
      <c r="BH11" s="95">
        <f>'الرياض'!BH10+'المدينه المنوره'!BH10+'الشرقيه'!BH10+'الحدود الشماليه'!BH10+'تبوك'!BH10+'الجوف'!BH10+'حائل'!BH10+'نجران'!BH10+'القصيم'!BH10+'الباحه'!BH10+'عسير'!BH10+'جازان'!BH10+'جده'!BH10+'الطائف'!BH10+'العاصمه'!BI10+'القريات'!BH10</f>
        <v>1880</v>
      </c>
      <c r="BI11" s="95">
        <f t="shared" si="11"/>
        <v>39938</v>
      </c>
      <c r="BJ11" s="95">
        <f>'الرياض'!BJ10+'المدينه المنوره'!BJ10+'الشرقيه'!BJ10+'الحدود الشماليه'!BJ10+'تبوك'!BJ10+'الجوف'!BJ10+'حائل'!BJ10+'نجران'!BJ10+'القصيم'!BJ10+'الباحه'!BJ10+'عسير'!BJ10+'جازان'!BJ10+'جده'!BJ10+'الطائف'!BJ10+'العاصمه'!BK10+'القريات'!BJ10</f>
        <v>4343</v>
      </c>
      <c r="BK11" s="95">
        <f>'الرياض'!BK10+'المدينه المنوره'!BK10+'الشرقيه'!BK10+'الحدود الشماليه'!BK10+'تبوك'!BK10+'الجوف'!BK10+'حائل'!BK10+'نجران'!BK10+'القصيم'!BK10+'الباحه'!BK10+'عسير'!BK10+'جازان'!BK10+'جده'!BK10+'الطائف'!BK10+'العاصمه'!BL10+'القريات'!BK10</f>
        <v>4111</v>
      </c>
      <c r="BL11" s="95">
        <f>'الرياض'!BL10+'المدينه المنوره'!BL10+'الشرقيه'!BL10+'الحدود الشماليه'!BL10+'تبوك'!BL10+'الجوف'!BL10+'حائل'!BL10+'نجران'!BL10+'القصيم'!BL10+'الباحه'!BL10+'عسير'!BL10+'جازان'!BL10+'جده'!BL10+'الطائف'!BL10+'العاصمه'!BM10+'القريات'!BL10</f>
        <v>5486</v>
      </c>
      <c r="BM11" s="95">
        <f>'الرياض'!BM10+'المدينه المنوره'!BM10+'الشرقيه'!BM10+'الحدود الشماليه'!BM10+'تبوك'!BM10+'الجوف'!BM10+'حائل'!BM10+'نجران'!BM10+'القصيم'!BM10+'الباحه'!BM10+'عسير'!BM10+'جازان'!BM10+'جده'!BM10+'الطائف'!BM10+'العاصمه'!BN10+'القريات'!BM10</f>
        <v>3838</v>
      </c>
      <c r="BN11" s="95">
        <f>'الرياض'!BN10+'المدينه المنوره'!BN10+'الشرقيه'!BN10+'الحدود الشماليه'!BN10+'تبوك'!BN10+'الجوف'!BN10+'حائل'!BN10+'نجران'!BN10+'القصيم'!BN10+'الباحه'!BN10+'عسير'!BN10+'جازان'!BN10+'جده'!BN10+'الطائف'!BN10+'العاصمه'!BO10+'القريات'!BN10</f>
        <v>10889</v>
      </c>
      <c r="BO11" s="95">
        <f>'الرياض'!BO10+'المدينه المنوره'!BO10+'الشرقيه'!BO10+'الحدود الشماليه'!BO10+'تبوك'!BO10+'الجوف'!BO10+'حائل'!BO10+'نجران'!BO10+'القصيم'!BO10+'الباحه'!BO10+'عسير'!BO10+'جازان'!BO10+'جده'!BO10+'الطائف'!BO10+'العاصمه'!BP10+'القريات'!BO10</f>
        <v>4</v>
      </c>
      <c r="BP11" s="95">
        <f>'الرياض'!BP10+'المدينه المنوره'!BP10+'الشرقيه'!BP10+'الحدود الشماليه'!BP10+'تبوك'!BP10+'الجوف'!BP10+'حائل'!BP10+'نجران'!BP10+'القصيم'!BP10+'الباحه'!BP10+'عسير'!BP10+'جازان'!BP10+'جده'!BP10+'الطائف'!BP10+'العاصمه'!BQ10+'القريات'!BP10</f>
        <v>11267</v>
      </c>
      <c r="BQ11" s="24">
        <f t="shared" si="12"/>
        <v>39938</v>
      </c>
      <c r="BR11" s="97">
        <f>'الرياض'!BR10+'المدينه المنوره'!BR10+'الشرقيه'!BR10+'الحدود الشماليه'!BR10+'تبوك'!BR10+'الجوف'!BR10+'حائل'!BR10+'نجران'!BR10+'القصيم'!BR10+'الباحه'!BR10+'عسير'!BR10+'جازان'!BR10+'جده'!BR10+'الطائف'!BR10+'العاصمه'!BS10+'القريات'!BR10</f>
        <v>3389</v>
      </c>
      <c r="BS11" s="97">
        <f>'الرياض'!BS10+'المدينه المنوره'!BS10+'الشرقيه'!BS10+'الحدود الشماليه'!BS10+'تبوك'!BS10+'الجوف'!BS10+'حائل'!BS10+'نجران'!BS10+'القصيم'!BS10+'الباحه'!BS10+'عسير'!BS10+'جازان'!BS10+'جده'!BS10+'الطائف'!BS10+'العاصمه'!BT10+'القريات'!BS10</f>
        <v>965</v>
      </c>
      <c r="BT11" s="97">
        <f>'الرياض'!BT10+'المدينه المنوره'!BT10+'الشرقيه'!BT10+'الحدود الشماليه'!BT10+'تبوك'!BT10+'الجوف'!BT10+'حائل'!BT10+'نجران'!BT10+'القصيم'!BT10+'الباحه'!BT10+'عسير'!BT10+'جازان'!BT10+'جده'!BT10+'الطائف'!BT10+'العاصمه'!BU10+'القريات'!BT10</f>
        <v>73846</v>
      </c>
      <c r="BU11" s="98">
        <f t="shared" si="13"/>
        <v>78200</v>
      </c>
    </row>
    <row r="12" ht="24.0" customHeight="1">
      <c r="A12" s="24" t="s">
        <v>78</v>
      </c>
      <c r="B12" s="97">
        <f>'الرياض'!B11+'المدينه المنوره'!B11+'الشرقيه'!B11+'الحدود الشماليه'!B11+'تبوك'!B11+'الجوف'!B11+'حائل'!B11+'نجران'!B11+'القصيم'!B11+'الباحه'!B11+'عسير'!B11+'جازان'!B11+'جده'!B11+'الطائف'!B11+'العاصمه'!C11+'القريات'!B11</f>
        <v>38462</v>
      </c>
      <c r="C12" s="97">
        <f>'الرياض'!C11+'المدينه المنوره'!C11+'الشرقيه'!C11+'الحدود الشماليه'!C11+'تبوك'!C11+'الجوف'!C11+'حائل'!C11+'نجران'!C11+'القصيم'!C11+'الباحه'!C11+'عسير'!C11+'جازان'!C11+'جده'!C11+'الطائف'!C11+'العاصمه'!D11+'القريات'!C11</f>
        <v>1705</v>
      </c>
      <c r="D12" s="97">
        <f>'الرياض'!D11+'المدينه المنوره'!D11+'الشرقيه'!D11+'الحدود الشماليه'!D11+'تبوك'!D11+'الجوف'!D11+'حائل'!D11+'نجران'!D11+'القصيم'!D11+'الباحه'!D11+'عسير'!D11+'جازان'!D11+'جده'!D11+'الطائف'!D11+'العاصمه'!E11+'القريات'!D11</f>
        <v>542</v>
      </c>
      <c r="E12" s="98">
        <f t="shared" si="1"/>
        <v>40709</v>
      </c>
      <c r="F12" s="95">
        <f>'الرياض'!F11+'المدينه المنوره'!F11+'الشرقيه'!F11+'الحدود الشماليه'!F11+'تبوك'!F11+'الجوف'!F11+'حائل'!F11+'نجران'!F11+'القصيم'!F11+'الباحه'!F11+'عسير'!F11+'جازان'!F11+'جده'!F11+'الطائف'!F11+'العاصمه'!G11+'القريات'!F11</f>
        <v>6005</v>
      </c>
      <c r="G12" s="95">
        <f>'الرياض'!G11+'المدينه المنوره'!G11+'الشرقيه'!G11+'الحدود الشماليه'!G11+'تبوك'!G11+'الجوف'!G11+'حائل'!G11+'نجران'!G11+'القصيم'!G11+'الباحه'!G11+'عسير'!G11+'جازان'!G11+'جده'!G11+'الطائف'!G11+'العاصمه'!H11+'القريات'!G11</f>
        <v>6248</v>
      </c>
      <c r="H12" s="95">
        <f>'الرياض'!H11+'المدينه المنوره'!H11+'الشرقيه'!H11+'الحدود الشماليه'!H11+'تبوك'!H11+'الجوف'!H11+'حائل'!H11+'نجران'!H11+'القصيم'!H11+'الباحه'!H11+'عسير'!H11+'جازان'!H11+'جده'!H11+'الطائف'!H11+'العاصمه'!I11+'القريات'!H11</f>
        <v>5865</v>
      </c>
      <c r="I12" s="95">
        <f>'الرياض'!I11+'المدينه المنوره'!I11+'الشرقيه'!I11+'الحدود الشماليه'!I11+'تبوك'!I11+'الجوف'!I11+'حائل'!I11+'نجران'!I11+'القصيم'!I11+'الباحه'!I11+'عسير'!I11+'جازان'!I11+'جده'!I11+'الطائف'!I11+'العاصمه'!J11+'القريات'!I11</f>
        <v>5897</v>
      </c>
      <c r="J12" s="95">
        <f>'الرياض'!J11+'المدينه المنوره'!J11+'الشرقيه'!J11+'الحدود الشماليه'!J11+'تبوك'!J11+'الجوف'!J11+'حائل'!J11+'نجران'!J11+'القصيم'!J11+'الباحه'!J11+'عسير'!J11+'جازان'!J11+'جده'!J11+'الطائف'!J11+'العاصمه'!K11+'القريات'!J11</f>
        <v>5478</v>
      </c>
      <c r="K12" s="95">
        <f>'الرياض'!K11+'المدينه المنوره'!K11+'الشرقيه'!K11+'الحدود الشماليه'!K11+'تبوك'!K11+'الجوف'!K11+'حائل'!K11+'نجران'!K11+'القصيم'!K11+'الباحه'!K11+'عسير'!K11+'جازان'!K11+'جده'!K11+'الطائف'!K11+'العاصمه'!L11+'القريات'!K11</f>
        <v>5869</v>
      </c>
      <c r="L12" s="95">
        <f>'الرياض'!L11+'المدينه المنوره'!L11+'الشرقيه'!L11+'الحدود الشماليه'!L11+'تبوك'!L11+'الجوف'!L11+'حائل'!L11+'نجران'!L11+'القصيم'!L11+'الباحه'!L11+'عسير'!L11+'جازان'!L11+'جده'!L11+'الطائف'!L11+'العاصمه'!M11+'القريات'!L11</f>
        <v>5347</v>
      </c>
      <c r="M12" s="24">
        <f t="shared" si="14"/>
        <v>40709</v>
      </c>
      <c r="N12" s="95">
        <f>'الرياض'!N11+'المدينه المنوره'!N11+'الشرقيه'!N11+'الحدود الشماليه'!N11+'تبوك'!N11+'الجوف'!N11+'حائل'!N11+'نجران'!N11+'القصيم'!N11+'الباحه'!N11+'عسير'!N11+'جازان'!N11+'جده'!N11+'الطائف'!N11+'العاصمه'!O11+'القريات'!N11</f>
        <v>25651</v>
      </c>
      <c r="O12" s="95">
        <f>'الرياض'!O11+'المدينه المنوره'!O11+'الشرقيه'!O11+'الحدود الشماليه'!O11+'تبوك'!O11+'الجوف'!O11+'حائل'!O11+'نجران'!O11+'القصيم'!O11+'الباحه'!O11+'عسير'!O11+'جازان'!O11+'جده'!O11+'الطائف'!O11+'العاصمه'!P11+'القريات'!O11</f>
        <v>15058</v>
      </c>
      <c r="P12" s="24">
        <f t="shared" si="2"/>
        <v>40709</v>
      </c>
      <c r="Q12" s="95">
        <f>'الرياض'!Q11+'المدينه المنوره'!Q11+'الشرقيه'!Q11+'الحدود الشماليه'!Q11+'تبوك'!Q11+'الجوف'!Q11+'حائل'!Q11+'نجران'!Q11+'القصيم'!Q11+'الباحه'!Q11+'عسير'!Q11+'جازان'!Q11+'جده'!Q11+'الطائف'!Q11+'العاصمه'!R11+'القريات'!Q11</f>
        <v>24019</v>
      </c>
      <c r="R12" s="95">
        <f>'الرياض'!R11+'المدينه المنوره'!R11+'الشرقيه'!R11+'الحدود الشماليه'!R11+'تبوك'!R11+'الجوف'!R11+'حائل'!R11+'نجران'!R11+'القصيم'!R11+'الباحه'!R11+'عسير'!R11+'جازان'!R11+'جده'!R11+'الطائف'!R11+'العاصمه'!S11+'القريات'!R11</f>
        <v>16690</v>
      </c>
      <c r="S12" s="24">
        <f t="shared" si="3"/>
        <v>40709</v>
      </c>
      <c r="T12" s="95">
        <f>'الرياض'!T11+'المدينه المنوره'!T11+'الشرقيه'!T11+'الحدود الشماليه'!T11+'تبوك'!T11+'الجوف'!T11+'حائل'!T11+'نجران'!T11+'القصيم'!T11+'الباحه'!T11+'عسير'!T11+'جازان'!T11+'جده'!T11+'الطائف'!T11+'العاصمه'!U11+'القريات'!T11</f>
        <v>38402</v>
      </c>
      <c r="U12" s="95">
        <f>'الرياض'!U11+'المدينه المنوره'!U11+'الشرقيه'!U11+'الحدود الشماليه'!U11+'تبوك'!U11+'الجوف'!U11+'حائل'!U11+'نجران'!U11+'القصيم'!U11+'الباحه'!U11+'عسير'!U11+'جازان'!U11+'جده'!U11+'الطائف'!U11+'العاصمه'!V11+'القريات'!U11</f>
        <v>9872</v>
      </c>
      <c r="V12" s="95">
        <f>'الرياض'!V11+'المدينه المنوره'!V11+'الشرقيه'!V11+'الحدود الشماليه'!V11+'تبوك'!V11+'الجوف'!V11+'حائل'!V11+'نجران'!V11+'القصيم'!V11+'الباحه'!V11+'عسير'!V11+'جازان'!V11+'جده'!V11+'الطائف'!V11+'العاصمه'!W11+'القريات'!V11</f>
        <v>1573</v>
      </c>
      <c r="W12" s="95">
        <f>'الرياض'!W11+'المدينه المنوره'!W11+'الشرقيه'!W11+'الحدود الشماليه'!W11+'تبوك'!W11+'الجوف'!W11+'حائل'!W11+'نجران'!W11+'القصيم'!W11+'الباحه'!W11+'عسير'!W11+'جازان'!W11+'جده'!W11+'الطائف'!W11+'العاصمه'!X11+'القريات'!W11</f>
        <v>9058</v>
      </c>
      <c r="X12" s="95">
        <f>'الرياض'!X11+'المدينه المنوره'!X11+'الشرقيه'!X11+'الحدود الشماليه'!X11+'تبوك'!X11+'الجوف'!X11+'حائل'!X11+'نجران'!X11+'القصيم'!X11+'الباحه'!X11+'عسير'!X11+'جازان'!X11+'جده'!X11+'الطائف'!X11+'العاصمه'!Y11+'القريات'!X11</f>
        <v>5494</v>
      </c>
      <c r="Y12" s="95">
        <f>'الرياض'!Y11+'المدينه المنوره'!Y11+'الشرقيه'!Y11+'الحدود الشماليه'!Y11+'تبوك'!Y11+'الجوف'!Y11+'حائل'!Y11+'نجران'!Y11+'القصيم'!Y11+'الباحه'!Y11+'عسير'!Y11+'جازان'!Y11+'جده'!Y11+'الطائف'!Y11+'العاصمه'!Z11+'القريات'!Y11</f>
        <v>843</v>
      </c>
      <c r="Z12" s="95">
        <f>'الرياض'!Z11+'المدينه المنوره'!Z11+'الشرقيه'!Z11+'الحدود الشماليه'!Z11+'تبوك'!Z11+'الجوف'!Z11+'حائل'!Z11+'نجران'!Z11+'القصيم'!Z11+'الباحه'!Z11+'عسير'!Z11+'جازان'!Z11+'جده'!Z11+'الطائف'!Z11+'العاصمه'!AA11+'القريات'!Z11</f>
        <v>1798</v>
      </c>
      <c r="AA12" s="24">
        <f t="shared" si="4"/>
        <v>67040</v>
      </c>
      <c r="AB12" s="95">
        <f>'الرياض'!AB11+'المدينه المنوره'!AB11+'الشرقيه'!AB11+'الحدود الشماليه'!AB11+'تبوك'!AB11+'الجوف'!AB11+'حائل'!AB11+'نجران'!AB11+'القصيم'!AB11+'الباحه'!AB11+'عسير'!AB11+'جازان'!AB11+'جده'!AB11+'الطائف'!AB11+'العاصمه'!AC11+'القريات'!AB11</f>
        <v>8030</v>
      </c>
      <c r="AC12" s="95">
        <f>'الرياض'!AC11+'المدينه المنوره'!AC11+'الشرقيه'!AC11+'الحدود الشماليه'!AC11+'تبوك'!AC11+'الجوف'!AC11+'حائل'!AC11+'نجران'!AC11+'القصيم'!AC11+'الباحه'!AC11+'عسير'!AC11+'جازان'!AC11+'جده'!AC11+'الطائف'!AC11+'العاصمه'!AD11+'القريات'!AC11</f>
        <v>26713</v>
      </c>
      <c r="AD12" s="95">
        <f>'الرياض'!AD11+'المدينه المنوره'!AD11+'الشرقيه'!AD11+'الحدود الشماليه'!AD11+'تبوك'!AD11+'الجوف'!AD11+'حائل'!AD11+'نجران'!AD11+'القصيم'!AD11+'الباحه'!AD11+'عسير'!AD11+'جازان'!AD11+'جده'!AD11+'الطائف'!AD11+'العاصمه'!AE11+'القريات'!AD11</f>
        <v>25060</v>
      </c>
      <c r="AE12" s="95">
        <f>'الرياض'!AE11+'المدينه المنوره'!AE11+'الشرقيه'!AE11+'الحدود الشماليه'!AE11+'تبوك'!AE11+'الجوف'!AE11+'حائل'!AE11+'نجران'!AE11+'القصيم'!AE11+'الباحه'!AE11+'عسير'!AE11+'جازان'!AE11+'جده'!AE11+'الطائف'!AE11+'العاصمه'!AF11+'القريات'!AE11</f>
        <v>11749</v>
      </c>
      <c r="AF12" s="95">
        <f>'الرياض'!AF11+'المدينه المنوره'!AF11+'الشرقيه'!AF11+'الحدود الشماليه'!AF11+'تبوك'!AF11+'الجوف'!AF11+'حائل'!AF11+'نجران'!AF11+'القصيم'!AF11+'الباحه'!AF11+'عسير'!AF11+'جازان'!AF11+'جده'!AF11+'الطائف'!AF11+'العاصمه'!AG11+'القريات'!AF11</f>
        <v>4531</v>
      </c>
      <c r="AG12" s="24">
        <f t="shared" si="5"/>
        <v>76083</v>
      </c>
      <c r="AH12" s="95">
        <f>'الرياض'!AH11+'المدينه المنوره'!AH11+'الشرقيه'!AH11+'الحدود الشماليه'!AH11+'تبوك'!AH11+'الجوف'!AH11+'حائل'!AH11+'نجران'!AH11+'القصيم'!AH11+'الباحه'!AH11+'عسير'!AH11+'جازان'!AH11+'جده'!AH11+'الطائف'!AH11+'العاصمه'!AI11+'القريات'!AH11</f>
        <v>49573</v>
      </c>
      <c r="AI12" s="95">
        <f>'الرياض'!AI11+'المدينه المنوره'!AI11+'الشرقيه'!AI11+'الحدود الشماليه'!AI11+'تبوك'!AI11+'الجوف'!AI11+'حائل'!AI11+'نجران'!AI11+'القصيم'!AI11+'الباحه'!AI11+'عسير'!AI11+'جازان'!AI11+'جده'!AI11+'الطائف'!AI11+'العاصمه'!AJ11+'القريات'!AI11</f>
        <v>26510</v>
      </c>
      <c r="AJ12" s="24">
        <f t="shared" si="6"/>
        <v>76083</v>
      </c>
      <c r="AK12" s="95">
        <f>'الرياض'!AK11+'المدينه المنوره'!AK11+'الشرقيه'!AK11+'الحدود الشماليه'!AK11+'تبوك'!AK11+'الجوف'!AK11+'حائل'!AK11+'نجران'!AK11+'القصيم'!AK11+'الباحه'!AK11+'عسير'!AK11+'جازان'!AK11+'جده'!AK11+'الطائف'!AK11+'العاصمه'!AL11+'القريات'!AK11</f>
        <v>46902</v>
      </c>
      <c r="AL12" s="95">
        <f>'الرياض'!AL11+'المدينه المنوره'!AL11+'الشرقيه'!AL11+'الحدود الشماليه'!AL11+'تبوك'!AL11+'الجوف'!AL11+'حائل'!AL11+'نجران'!AL11+'القصيم'!AL11+'الباحه'!AL11+'عسير'!AL11+'جازان'!AL11+'جده'!AL11+'الطائف'!AL11+'العاصمه'!AM11+'القريات'!AL11</f>
        <v>29181</v>
      </c>
      <c r="AM12" s="24">
        <f t="shared" si="7"/>
        <v>76083</v>
      </c>
      <c r="AN12" s="95">
        <f>'الرياض'!AN11+'المدينه المنوره'!AN11+'الشرقيه'!AN11+'الحدود الشماليه'!AN11+'تبوك'!AN11+'الجوف'!AN11+'حائل'!AN11+'نجران'!AN11+'القصيم'!AN11+'الباحه'!AN11+'عسير'!AN11+'جازان'!AN11+'جده'!AN11+'الطائف'!AN11+'العاصمه'!AO11+'القريات'!AN11</f>
        <v>74604</v>
      </c>
      <c r="AO12" s="95">
        <f>'الرياض'!AO11+'المدينه المنوره'!AO11+'الشرقيه'!AO11+'الحدود الشماليه'!AO11+'تبوك'!AO11+'الجوف'!AO11+'حائل'!AO11+'نجران'!AO11+'القصيم'!AO11+'الباحه'!AO11+'عسير'!AO11+'جازان'!AO11+'جده'!AO11+'الطائف'!AO11+'العاصمه'!AP11+'القريات'!AO11</f>
        <v>1479</v>
      </c>
      <c r="AP12" s="24">
        <f t="shared" si="8"/>
        <v>76083</v>
      </c>
      <c r="AQ12" s="95">
        <f>'الرياض'!AQ11+'المدينه المنوره'!AQ11+'الشرقيه'!AQ11+'الحدود الشماليه'!AQ11+'تبوك'!AQ11+'الجوف'!AQ11+'حائل'!AQ11+'نجران'!AQ11+'القصيم'!AQ11+'الباحه'!AQ11+'عسير'!AQ11+'جازان'!AQ11+'جده'!AQ11+'الطائف'!AQ11+'العاصمه'!AR11+'القريات'!AQ11</f>
        <v>50534</v>
      </c>
      <c r="AR12" s="95">
        <f>'الرياض'!AR11+'المدينه المنوره'!AR11+'الشرقيه'!AR11+'الحدود الشماليه'!AR11+'تبوك'!AR11+'الجوف'!AR11+'حائل'!AR11+'نجران'!AR11+'القصيم'!AR11+'الباحه'!AR11+'عسير'!AR11+'جازان'!AR11+'جده'!AR11+'الطائف'!AR11+'العاصمه'!AS11+'القريات'!AR11</f>
        <v>13678</v>
      </c>
      <c r="AS12" s="95">
        <f>'الرياض'!AS11+'المدينه المنوره'!AS11+'الشرقيه'!AS11+'الحدود الشماليه'!AS11+'تبوك'!AS11+'الجوف'!AS11+'حائل'!AS11+'نجران'!AS11+'القصيم'!AS11+'الباحه'!AS11+'عسير'!AS11+'جازان'!AS11+'جده'!AS11+'الطائف'!AS11+'العاصمه'!AT11+'القريات'!AS11</f>
        <v>838</v>
      </c>
      <c r="AT12" s="95">
        <f>'الرياض'!AT11+'المدينه المنوره'!AT11+'الشرقيه'!AT11+'الحدود الشماليه'!AT11+'تبوك'!AT11+'الجوف'!AT11+'حائل'!AT11+'نجران'!AT11+'القصيم'!AT11+'الباحه'!AT11+'عسير'!AT11+'جازان'!AT11+'جده'!AT11+'الطائف'!AT11+'العاصمه'!AU11+'القريات'!AT11</f>
        <v>283</v>
      </c>
      <c r="AU12" s="95">
        <f>'الرياض'!AU11+'المدينه المنوره'!AU11+'الشرقيه'!AU11+'الحدود الشماليه'!AU11+'تبوك'!AU11+'الجوف'!AU11+'حائل'!AU11+'نجران'!AU11+'القصيم'!AU11+'الباحه'!AU11+'عسير'!AU11+'جازان'!AU11+'جده'!AU11+'الطائف'!AU11+'العاصمه'!AV11+'القريات'!AU11</f>
        <v>10750</v>
      </c>
      <c r="AV12" s="24">
        <f t="shared" si="15"/>
        <v>76083</v>
      </c>
      <c r="AW12" s="24">
        <f t="shared" si="9"/>
        <v>10750</v>
      </c>
      <c r="AX12" s="95">
        <f>'الرياض'!AX11+'المدينه المنوره'!AX11+'الشرقيه'!AX11+'الحدود الشماليه'!AX11+'تبوك'!AX11+'الجوف'!AX11+'حائل'!AX11+'نجران'!AX11+'القصيم'!AX11+'الباحه'!AX11+'عسير'!AX11+'جازان'!AX11+'جده'!AX11+'الطائف'!AX11+'العاصمه'!AY11+'القريات'!AX11</f>
        <v>58929</v>
      </c>
      <c r="AY12" s="95">
        <f>'الرياض'!AY11+'المدينه المنوره'!AY11+'الشرقيه'!AY11+'الحدود الشماليه'!AY11+'تبوك'!AY11+'الجوف'!AY11+'حائل'!AY11+'نجران'!AY11+'القصيم'!AY11+'الباحه'!AY11+'عسير'!AY11+'جازان'!AY11+'جده'!AY11+'الطائف'!AY11+'العاصمه'!AZ11+'القريات'!AY11</f>
        <v>6404</v>
      </c>
      <c r="AZ12" s="95">
        <f t="shared" si="10"/>
        <v>76083</v>
      </c>
      <c r="BA12" s="95">
        <f>'الرياض'!BA11+'المدينه المنوره'!BA11+'الشرقيه'!BA11+'الحدود الشماليه'!BA11+'تبوك'!BA11+'الجوف'!BA11+'حائل'!BA11+'نجران'!BA11+'القصيم'!BA11+'الباحه'!BA11+'عسير'!BA11+'جازان'!BA11+'جده'!BA11+'الطائف'!BA11+'العاصمه'!BB11+'القريات'!BA11</f>
        <v>28997</v>
      </c>
      <c r="BB12" s="95">
        <f>'الرياض'!BB11+'المدينه المنوره'!BB11+'الشرقيه'!BB11+'الحدود الشماليه'!BB11+'تبوك'!BB11+'الجوف'!BB11+'حائل'!BB11+'نجران'!BB11+'القصيم'!BB11+'الباحه'!BB11+'عسير'!BB11+'جازان'!BB11+'جده'!BB11+'الطائف'!BB11+'العاصمه'!BC11+'القريات'!$BB11</f>
        <v>4649</v>
      </c>
      <c r="BC12" s="95">
        <f>'الرياض'!BC11+'المدينه المنوره'!BC11+'الشرقيه'!BC11+'الحدود الشماليه'!BC11+'تبوك'!BC11+'الجوف'!BC11+'حائل'!BC11+'نجران'!BC11+'القصيم'!BC11+'الباحه'!BC11+'عسير'!BC11+'جازان'!BC11+'جده'!BC11+'الطائف'!BC11+'العاصمه'!BD11+'القريات'!BC11</f>
        <v>843</v>
      </c>
      <c r="BD12" s="95">
        <f>'الرياض'!BD11+'المدينه المنوره'!BD11+'الشرقيه'!BD11+'الحدود الشماليه'!BD11+'تبوك'!BD11+'الجوف'!BD11+'حائل'!BD11+'نجران'!BD11+'القصيم'!BD11+'الباحه'!BD11+'عسير'!BD11+'جازان'!BD11+'جده'!BD11+'الطائف'!BD11+'العاصمه'!BE11+'القريات'!BD11</f>
        <v>59</v>
      </c>
      <c r="BE12" s="95">
        <f>'الرياض'!BE11+'المدينه المنوره'!BE11+'الشرقيه'!BE11+'الحدود الشماليه'!BE11+'تبوك'!BE11+'الجوف'!BE11+'حائل'!BE11+'نجران'!BE11+'القصيم'!BE11+'الباحه'!BE11+'عسير'!BE11+'جازان'!BE11+'جده'!BE11+'الطائف'!BE11+'العاصمه'!BF11+'القريات'!BE11</f>
        <v>66</v>
      </c>
      <c r="BF12" s="95">
        <f>'الرياض'!BF11+'المدينه المنوره'!BF11+'الشرقيه'!BF11+'الحدود الشماليه'!BF11+'تبوك'!BF11+'الجوف'!BF11+'حائل'!BF11+'نجران'!BF11+'القصيم'!BF11+'الباحه'!BF11+'عسير'!BF11+'جازان'!BF11+'جده'!BF11+'الطائف'!BF11+'العاصمه'!BG11+'القريات'!BF11</f>
        <v>1748</v>
      </c>
      <c r="BG12" s="95">
        <f>'الرياض'!BG11+'المدينه المنوره'!BG11+'الشرقيه'!BG11+'الحدود الشماليه'!BG11+'تبوك'!BG11+'الجوف'!BG11+'حائل'!BG11+'نجران'!BG11+'القصيم'!BG11+'الباحه'!BG11+'عسير'!BG11+'جازان'!BG11+'جده'!BG11+'الطائف'!BG11+'العاصمه'!BH11+'القريات'!BG11</f>
        <v>1706</v>
      </c>
      <c r="BH12" s="95">
        <f>'الرياض'!BH11+'المدينه المنوره'!BH11+'الشرقيه'!BH11+'الحدود الشماليه'!BH11+'تبوك'!BH11+'الجوف'!BH11+'حائل'!BH11+'نجران'!BH11+'القصيم'!BH11+'الباحه'!BH11+'عسير'!BH11+'جازان'!BH11+'جده'!BH11+'الطائف'!BH11+'العاصمه'!BI11+'القريات'!BH11</f>
        <v>2641</v>
      </c>
      <c r="BI12" s="95">
        <f t="shared" si="11"/>
        <v>40709</v>
      </c>
      <c r="BJ12" s="95">
        <f>'الرياض'!BJ11+'المدينه المنوره'!BJ11+'الشرقيه'!BJ11+'الحدود الشماليه'!BJ11+'تبوك'!BJ11+'الجوف'!BJ11+'حائل'!BJ11+'نجران'!BJ11+'القصيم'!BJ11+'الباحه'!BJ11+'عسير'!BJ11+'جازان'!BJ11+'جده'!BJ11+'الطائف'!BJ11+'العاصمه'!BK11+'القريات'!BJ11</f>
        <v>4369</v>
      </c>
      <c r="BK12" s="95">
        <f>'الرياض'!BK11+'المدينه المنوره'!BK11+'الشرقيه'!BK11+'الحدود الشماليه'!BK11+'تبوك'!BK11+'الجوف'!BK11+'حائل'!BK11+'نجران'!BK11+'القصيم'!BK11+'الباحه'!BK11+'عسير'!BK11+'جازان'!BK11+'جده'!BK11+'الطائف'!BK11+'العاصمه'!BL11+'القريات'!BK11</f>
        <v>4137</v>
      </c>
      <c r="BL12" s="95">
        <f>'الرياض'!BL11+'المدينه المنوره'!BL11+'الشرقيه'!BL11+'الحدود الشماليه'!BL11+'تبوك'!BL11+'الجوف'!BL11+'حائل'!BL11+'نجران'!BL11+'القصيم'!BL11+'الباحه'!BL11+'عسير'!BL11+'جازان'!BL11+'جده'!BL11+'الطائف'!BL11+'العاصمه'!BM11+'القريات'!BL11</f>
        <v>4334</v>
      </c>
      <c r="BM12" s="95">
        <f>'الرياض'!BM11+'المدينه المنوره'!BM11+'الشرقيه'!BM11+'الحدود الشماليه'!BM11+'تبوك'!BM11+'الجوف'!BM11+'حائل'!BM11+'نجران'!BM11+'القصيم'!BM11+'الباحه'!BM11+'عسير'!BM11+'جازان'!BM11+'جده'!BM11+'الطائف'!BM11+'العاصمه'!BN11+'القريات'!BM11</f>
        <v>2538</v>
      </c>
      <c r="BN12" s="95">
        <f>'الرياض'!BN11+'المدينه المنوره'!BN11+'الشرقيه'!BN11+'الحدود الشماليه'!BN11+'تبوك'!BN11+'الجوف'!BN11+'حائل'!BN11+'نجران'!BN11+'القصيم'!BN11+'الباحه'!BN11+'عسير'!BN11+'جازان'!BN11+'جده'!BN11+'الطائف'!BN11+'العاصمه'!BO11+'القريات'!BN11</f>
        <v>10352</v>
      </c>
      <c r="BO12" s="95">
        <f>'الرياض'!BO11+'المدينه المنوره'!BO11+'الشرقيه'!BO11+'الحدود الشماليه'!BO11+'تبوك'!BO11+'الجوف'!BO11+'حائل'!BO11+'نجران'!BO11+'القصيم'!BO11+'الباحه'!BO11+'عسير'!BO11+'جازان'!BO11+'جده'!BO11+'الطائف'!BO11+'العاصمه'!BP11+'القريات'!BO11</f>
        <v>3</v>
      </c>
      <c r="BP12" s="95">
        <f>'الرياض'!BP11+'المدينه المنوره'!BP11+'الشرقيه'!BP11+'الحدود الشماليه'!BP11+'تبوك'!BP11+'الجوف'!BP11+'حائل'!BP11+'نجران'!BP11+'القصيم'!BP11+'الباحه'!BP11+'عسير'!BP11+'جازان'!BP11+'جده'!BP11+'الطائف'!BP11+'العاصمه'!BQ11+'القريات'!BP11</f>
        <v>14976</v>
      </c>
      <c r="BQ12" s="24">
        <f t="shared" si="12"/>
        <v>40709</v>
      </c>
      <c r="BR12" s="97">
        <f>'الرياض'!BR11+'المدينه المنوره'!BR11+'الشرقيه'!BR11+'الحدود الشماليه'!BR11+'تبوك'!BR11+'الجوف'!BR11+'حائل'!BR11+'نجران'!BR11+'القصيم'!BR11+'الباحه'!BR11+'عسير'!BR11+'جازان'!BR11+'جده'!BR11+'الطائف'!BR11+'العاصمه'!BS11+'القريات'!BR11</f>
        <v>3004</v>
      </c>
      <c r="BS12" s="97">
        <f>'الرياض'!BS11+'المدينه المنوره'!BS11+'الشرقيه'!BS11+'الحدود الشماليه'!BS11+'تبوك'!BS11+'الجوف'!BS11+'حائل'!BS11+'نجران'!BS11+'القصيم'!BS11+'الباحه'!BS11+'عسير'!BS11+'جازان'!BS11+'جده'!BS11+'الطائف'!BS11+'العاصمه'!BT11+'القريات'!BS11</f>
        <v>729</v>
      </c>
      <c r="BT12" s="97">
        <f>'الرياض'!BT11+'المدينه المنوره'!BT11+'الشرقيه'!BT11+'الحدود الشماليه'!BT11+'تبوك'!BT11+'الجوف'!BT11+'حائل'!BT11+'نجران'!BT11+'القصيم'!BT11+'الباحه'!BT11+'عسير'!BT11+'جازان'!BT11+'جده'!BT11+'الطائف'!BT11+'العاصمه'!BU11+'القريات'!BT11</f>
        <v>76586</v>
      </c>
      <c r="BU12" s="98">
        <f t="shared" si="13"/>
        <v>80319</v>
      </c>
    </row>
    <row r="13" ht="24.0" customHeight="1">
      <c r="A13" s="24" t="s">
        <v>79</v>
      </c>
      <c r="B13" s="97">
        <f>'الرياض'!B12+'المدينه المنوره'!B12+'الشرقيه'!B12+'الحدود الشماليه'!B12+'تبوك'!B12+'الجوف'!B12+'حائل'!B12+'نجران'!B12+'القصيم'!B12+'الباحه'!B12+'عسير'!B12+'جازان'!B12+'جده'!B12+'الطائف'!B12+'العاصمه'!C12+'القريات'!B12</f>
        <v>38974</v>
      </c>
      <c r="C13" s="97">
        <f>'الرياض'!C12+'المدينه المنوره'!C12+'الشرقيه'!C12+'الحدود الشماليه'!C12+'تبوك'!C12+'الجوف'!C12+'حائل'!C12+'نجران'!C12+'القصيم'!C12+'الباحه'!C12+'عسير'!C12+'جازان'!C12+'جده'!C12+'الطائف'!C12+'العاصمه'!D12+'القريات'!C12</f>
        <v>1783</v>
      </c>
      <c r="D13" s="97">
        <f>'الرياض'!D12+'المدينه المنوره'!D12+'الشرقيه'!D12+'الحدود الشماليه'!D12+'تبوك'!D12+'الجوف'!D12+'حائل'!D12+'نجران'!D12+'القصيم'!D12+'الباحه'!D12+'عسير'!D12+'جازان'!D12+'جده'!D12+'الطائف'!D12+'العاصمه'!E12+'القريات'!D12</f>
        <v>569</v>
      </c>
      <c r="E13" s="98">
        <f t="shared" si="1"/>
        <v>41326</v>
      </c>
      <c r="F13" s="95">
        <f>'الرياض'!F12+'المدينه المنوره'!F12+'الشرقيه'!F12+'الحدود الشماليه'!F12+'تبوك'!F12+'الجوف'!F12+'حائل'!F12+'نجران'!F12+'القصيم'!F12+'الباحه'!F12+'عسير'!F12+'جازان'!F12+'جده'!F12+'الطائف'!F12+'العاصمه'!G12+'القريات'!F12</f>
        <v>5815</v>
      </c>
      <c r="G13" s="95">
        <f>'الرياض'!G12+'المدينه المنوره'!G12+'الشرقيه'!G12+'الحدود الشماليه'!G12+'تبوك'!G12+'الجوف'!G12+'حائل'!G12+'نجران'!G12+'القصيم'!G12+'الباحه'!G12+'عسير'!G12+'جازان'!G12+'جده'!G12+'الطائف'!G12+'العاصمه'!H12+'القريات'!G12</f>
        <v>5847</v>
      </c>
      <c r="H13" s="95">
        <f>'الرياض'!H12+'المدينه المنوره'!H12+'الشرقيه'!H12+'الحدود الشماليه'!H12+'تبوك'!H12+'الجوف'!H12+'حائل'!H12+'نجران'!H12+'القصيم'!H12+'الباحه'!H12+'عسير'!H12+'جازان'!H12+'جده'!H12+'الطائف'!H12+'العاصمه'!I12+'القريات'!H12</f>
        <v>5898</v>
      </c>
      <c r="I13" s="95">
        <f>'الرياض'!I12+'المدينه المنوره'!I12+'الشرقيه'!I12+'الحدود الشماليه'!I12+'تبوك'!I12+'الجوف'!I12+'حائل'!I12+'نجران'!I12+'القصيم'!I12+'الباحه'!I12+'عسير'!I12+'جازان'!I12+'جده'!I12+'الطائف'!I12+'العاصمه'!J12+'القريات'!I12</f>
        <v>5594</v>
      </c>
      <c r="J13" s="95">
        <f>'الرياض'!J12+'المدينه المنوره'!J12+'الشرقيه'!J12+'الحدود الشماليه'!J12+'تبوك'!J12+'الجوف'!J12+'حائل'!J12+'نجران'!J12+'القصيم'!J12+'الباحه'!J12+'عسير'!J12+'جازان'!J12+'جده'!J12+'الطائف'!J12+'العاصمه'!K12+'القريات'!J12</f>
        <v>6209</v>
      </c>
      <c r="K13" s="95">
        <f>'الرياض'!K12+'المدينه المنوره'!K12+'الشرقيه'!K12+'الحدود الشماليه'!K12+'تبوك'!K12+'الجوف'!K12+'حائل'!K12+'نجران'!K12+'القصيم'!K12+'الباحه'!K12+'عسير'!K12+'جازان'!K12+'جده'!K12+'الطائف'!K12+'العاصمه'!L12+'القريات'!K12</f>
        <v>6877</v>
      </c>
      <c r="L13" s="95">
        <f>'الرياض'!L12+'المدينه المنوره'!L12+'الشرقيه'!L12+'الحدود الشماليه'!L12+'تبوك'!L12+'الجوف'!L12+'حائل'!L12+'نجران'!L12+'القصيم'!L12+'الباحه'!L12+'عسير'!L12+'جازان'!L12+'جده'!L12+'الطائف'!L12+'العاصمه'!M12+'القريات'!L12</f>
        <v>5086</v>
      </c>
      <c r="M13" s="24">
        <f t="shared" si="14"/>
        <v>41326</v>
      </c>
      <c r="N13" s="95">
        <f>'الرياض'!N12+'المدينه المنوره'!N12+'الشرقيه'!N12+'الحدود الشماليه'!N12+'تبوك'!N12+'الجوف'!N12+'حائل'!N12+'نجران'!N12+'القصيم'!N12+'الباحه'!N12+'عسير'!N12+'جازان'!N12+'جده'!N12+'الطائف'!N12+'العاصمه'!O12+'القريات'!N12</f>
        <v>25082</v>
      </c>
      <c r="O13" s="95">
        <f>'الرياض'!O12+'المدينه المنوره'!O12+'الشرقيه'!O12+'الحدود الشماليه'!O12+'تبوك'!O12+'الجوف'!O12+'حائل'!O12+'نجران'!O12+'القصيم'!O12+'الباحه'!O12+'عسير'!O12+'جازان'!O12+'جده'!O12+'الطائف'!O12+'العاصمه'!P12+'القريات'!O12</f>
        <v>16244</v>
      </c>
      <c r="P13" s="24">
        <f t="shared" si="2"/>
        <v>41326</v>
      </c>
      <c r="Q13" s="95">
        <f>'الرياض'!Q12+'المدينه المنوره'!Q12+'الشرقيه'!Q12+'الحدود الشماليه'!Q12+'تبوك'!Q12+'الجوف'!Q12+'حائل'!Q12+'نجران'!Q12+'القصيم'!Q12+'الباحه'!Q12+'عسير'!Q12+'جازان'!Q12+'جده'!Q12+'الطائف'!Q12+'العاصمه'!R12+'القريات'!Q12</f>
        <v>29802</v>
      </c>
      <c r="R13" s="95">
        <f>'الرياض'!R12+'المدينه المنوره'!R12+'الشرقيه'!R12+'الحدود الشماليه'!R12+'تبوك'!R12+'الجوف'!R12+'حائل'!R12+'نجران'!R12+'القصيم'!R12+'الباحه'!R12+'عسير'!R12+'جازان'!R12+'جده'!R12+'الطائف'!R12+'العاصمه'!S12+'القريات'!R12</f>
        <v>11524</v>
      </c>
      <c r="S13" s="24">
        <f t="shared" si="3"/>
        <v>41326</v>
      </c>
      <c r="T13" s="95">
        <f>'الرياض'!T12+'المدينه المنوره'!T12+'الشرقيه'!T12+'الحدود الشماليه'!T12+'تبوك'!T12+'الجوف'!T12+'حائل'!T12+'نجران'!T12+'القصيم'!T12+'الباحه'!T12+'عسير'!T12+'جازان'!T12+'جده'!T12+'الطائف'!T12+'العاصمه'!U12+'القريات'!T12</f>
        <v>36721</v>
      </c>
      <c r="U13" s="95">
        <f>'الرياض'!U12+'المدينه المنوره'!U12+'الشرقيه'!U12+'الحدود الشماليه'!U12+'تبوك'!U12+'الجوف'!U12+'حائل'!U12+'نجران'!U12+'القصيم'!U12+'الباحه'!U12+'عسير'!U12+'جازان'!U12+'جده'!U12+'الطائف'!U12+'العاصمه'!V12+'القريات'!U12</f>
        <v>9844</v>
      </c>
      <c r="V13" s="95">
        <f>'الرياض'!V12+'المدينه المنوره'!V12+'الشرقيه'!V12+'الحدود الشماليه'!V12+'تبوك'!V12+'الجوف'!V12+'حائل'!V12+'نجران'!V12+'القصيم'!V12+'الباحه'!V12+'عسير'!V12+'جازان'!V12+'جده'!V12+'الطائف'!V12+'العاصمه'!W12+'القريات'!V12</f>
        <v>1733</v>
      </c>
      <c r="W13" s="95">
        <f>'الرياض'!W12+'المدينه المنوره'!W12+'الشرقيه'!W12+'الحدود الشماليه'!W12+'تبوك'!W12+'الجوف'!W12+'حائل'!W12+'نجران'!W12+'القصيم'!W12+'الباحه'!W12+'عسير'!W12+'جازان'!W12+'جده'!W12+'الطائف'!W12+'العاصمه'!X12+'القريات'!W12</f>
        <v>11927</v>
      </c>
      <c r="X13" s="95">
        <f>'الرياض'!X12+'المدينه المنوره'!X12+'الشرقيه'!X12+'الحدود الشماليه'!X12+'تبوك'!X12+'الجوف'!X12+'حائل'!X12+'نجران'!X12+'القصيم'!X12+'الباحه'!X12+'عسير'!X12+'جازان'!X12+'جده'!X12+'الطائف'!X12+'العاصمه'!Y12+'القريات'!X12</f>
        <v>6120</v>
      </c>
      <c r="Y13" s="95">
        <f>'الرياض'!Y12+'المدينه المنوره'!Y12+'الشرقيه'!Y12+'الحدود الشماليه'!Y12+'تبوك'!Y12+'الجوف'!Y12+'حائل'!Y12+'نجران'!Y12+'القصيم'!Y12+'الباحه'!Y12+'عسير'!Y12+'جازان'!Y12+'جده'!Y12+'الطائف'!Y12+'العاصمه'!Z12+'القريات'!Y12</f>
        <v>669</v>
      </c>
      <c r="Z13" s="95">
        <f>'الرياض'!Z12+'المدينه المنوره'!Z12+'الشرقيه'!Z12+'الحدود الشماليه'!Z12+'تبوك'!Z12+'الجوف'!Z12+'حائل'!Z12+'نجران'!Z12+'القصيم'!Z12+'الباحه'!Z12+'عسير'!Z12+'جازان'!Z12+'جده'!Z12+'الطائف'!Z12+'العاصمه'!AA12+'القريات'!Z12</f>
        <v>1622</v>
      </c>
      <c r="AA13" s="24">
        <f t="shared" si="4"/>
        <v>68636</v>
      </c>
      <c r="AB13" s="95">
        <f>'الرياض'!AB12+'المدينه المنوره'!AB12+'الشرقيه'!AB12+'الحدود الشماليه'!AB12+'تبوك'!AB12+'الجوف'!AB12+'حائل'!AB12+'نجران'!AB12+'القصيم'!AB12+'الباحه'!AB12+'عسير'!AB12+'جازان'!AB12+'جده'!AB12+'الطائف'!AB12+'العاصمه'!AC12+'القريات'!AB12</f>
        <v>8883</v>
      </c>
      <c r="AC13" s="95">
        <f>'الرياض'!AC12+'المدينه المنوره'!AC12+'الشرقيه'!AC12+'الحدود الشماليه'!AC12+'تبوك'!AC12+'الجوف'!AC12+'حائل'!AC12+'نجران'!AC12+'القصيم'!AC12+'الباحه'!AC12+'عسير'!AC12+'جازان'!AC12+'جده'!AC12+'الطائف'!AC12+'العاصمه'!AD12+'القريات'!AC12</f>
        <v>27512</v>
      </c>
      <c r="AD13" s="95">
        <f>'الرياض'!AD12+'المدينه المنوره'!AD12+'الشرقيه'!AD12+'الحدود الشماليه'!AD12+'تبوك'!AD12+'الجوف'!AD12+'حائل'!AD12+'نجران'!AD12+'القصيم'!AD12+'الباحه'!AD12+'عسير'!AD12+'جازان'!AD12+'جده'!AD12+'الطائف'!AD12+'العاصمه'!AE12+'القريات'!AD12</f>
        <v>24418</v>
      </c>
      <c r="AE13" s="95">
        <f>'الرياض'!AE12+'المدينه المنوره'!AE12+'الشرقيه'!AE12+'الحدود الشماليه'!AE12+'تبوك'!AE12+'الجوف'!AE12+'حائل'!AE12+'نجران'!AE12+'القصيم'!AE12+'الباحه'!AE12+'عسير'!AE12+'جازان'!AE12+'جده'!AE12+'الطائف'!AE12+'العاصمه'!AF12+'القريات'!AE12</f>
        <v>13114</v>
      </c>
      <c r="AF13" s="95">
        <f>'الرياض'!AF12+'المدينه المنوره'!AF12+'الشرقيه'!AF12+'الحدود الشماليه'!AF12+'تبوك'!AF12+'الجوف'!AF12+'حائل'!AF12+'نجران'!AF12+'القصيم'!AF12+'الباحه'!AF12+'عسير'!AF12+'جازان'!AF12+'جده'!AF12+'الطائف'!AF12+'العاصمه'!AG12+'القريات'!AF12</f>
        <v>7679</v>
      </c>
      <c r="AG13" s="24">
        <f t="shared" si="5"/>
        <v>81606</v>
      </c>
      <c r="AH13" s="95">
        <f>'الرياض'!AH12+'المدينه المنوره'!AH12+'الشرقيه'!AH12+'الحدود الشماليه'!AH12+'تبوك'!AH12+'الجوف'!AH12+'حائل'!AH12+'نجران'!AH12+'القصيم'!AH12+'الباحه'!AH12+'عسير'!AH12+'جازان'!AH12+'جده'!AH12+'الطائف'!AH12+'العاصمه'!AI12+'القريات'!AH12</f>
        <v>51722</v>
      </c>
      <c r="AI13" s="95">
        <f>'الرياض'!AI12+'المدينه المنوره'!AI12+'الشرقيه'!AI12+'الحدود الشماليه'!AI12+'تبوك'!AI12+'الجوف'!AI12+'حائل'!AI12+'نجران'!AI12+'القصيم'!AI12+'الباحه'!AI12+'عسير'!AI12+'جازان'!AI12+'جده'!AI12+'الطائف'!AI12+'العاصمه'!AJ12+'القريات'!AI12</f>
        <v>29884</v>
      </c>
      <c r="AJ13" s="24">
        <f t="shared" si="6"/>
        <v>81606</v>
      </c>
      <c r="AK13" s="95">
        <f>'الرياض'!AK12+'المدينه المنوره'!AK12+'الشرقيه'!AK12+'الحدود الشماليه'!AK12+'تبوك'!AK12+'الجوف'!AK12+'حائل'!AK12+'نجران'!AK12+'القصيم'!AK12+'الباحه'!AK12+'عسير'!AK12+'جازان'!AK12+'جده'!AK12+'الطائف'!AK12+'العاصمه'!AL12+'القريات'!AK12</f>
        <v>45089</v>
      </c>
      <c r="AL13" s="95">
        <f>'الرياض'!AL12+'المدينه المنوره'!AL12+'الشرقيه'!AL12+'الحدود الشماليه'!AL12+'تبوك'!AL12+'الجوف'!AL12+'حائل'!AL12+'نجران'!AL12+'القصيم'!AL12+'الباحه'!AL12+'عسير'!AL12+'جازان'!AL12+'جده'!AL12+'الطائف'!AL12+'العاصمه'!AM12+'القريات'!AL12</f>
        <v>36517</v>
      </c>
      <c r="AM13" s="24">
        <f t="shared" si="7"/>
        <v>81606</v>
      </c>
      <c r="AN13" s="95">
        <f>'الرياض'!AN12+'المدينه المنوره'!AN12+'الشرقيه'!AN12+'الحدود الشماليه'!AN12+'تبوك'!AN12+'الجوف'!AN12+'حائل'!AN12+'نجران'!AN12+'القصيم'!AN12+'الباحه'!AN12+'عسير'!AN12+'جازان'!AN12+'جده'!AN12+'الطائف'!AN12+'العاصمه'!AO12+'القريات'!AN12</f>
        <v>79746</v>
      </c>
      <c r="AO13" s="95">
        <f>'الرياض'!AO12+'المدينه المنوره'!AO12+'الشرقيه'!AO12+'الحدود الشماليه'!AO12+'تبوك'!AO12+'الجوف'!AO12+'حائل'!AO12+'نجران'!AO12+'القصيم'!AO12+'الباحه'!AO12+'عسير'!AO12+'جازان'!AO12+'جده'!AO12+'الطائف'!AO12+'العاصمه'!AP12+'القريات'!AO12</f>
        <v>1860</v>
      </c>
      <c r="AP13" s="24">
        <f t="shared" si="8"/>
        <v>81606</v>
      </c>
      <c r="AQ13" s="95">
        <f>'الرياض'!AQ12+'المدينه المنوره'!AQ12+'الشرقيه'!AQ12+'الحدود الشماليه'!AQ12+'تبوك'!AQ12+'الجوف'!AQ12+'حائل'!AQ12+'نجران'!AQ12+'القصيم'!AQ12+'الباحه'!AQ12+'عسير'!AQ12+'جازان'!AQ12+'جده'!AQ12+'الطائف'!AQ12+'العاصمه'!AR12+'القريات'!AQ12</f>
        <v>53453</v>
      </c>
      <c r="AR13" s="95">
        <f>'الرياض'!AR12+'المدينه المنوره'!AR12+'الشرقيه'!AR12+'الحدود الشماليه'!AR12+'تبوك'!AR12+'الجوف'!AR12+'حائل'!AR12+'نجران'!AR12+'القصيم'!AR12+'الباحه'!AR12+'عسير'!AR12+'جازان'!AR12+'جده'!AR12+'الطائف'!AR12+'العاصمه'!AS12+'القريات'!AR12</f>
        <v>16331</v>
      </c>
      <c r="AS13" s="95">
        <f>'الرياض'!AS12+'المدينه المنوره'!AS12+'الشرقيه'!AS12+'الحدود الشماليه'!AS12+'تبوك'!AS12+'الجوف'!AS12+'حائل'!AS12+'نجران'!AS12+'القصيم'!AS12+'الباحه'!AS12+'عسير'!AS12+'جازان'!AS12+'جده'!AS12+'الطائف'!AS12+'العاصمه'!AT12+'القريات'!AS12</f>
        <v>914</v>
      </c>
      <c r="AT13" s="95">
        <f>'الرياض'!AT12+'المدينه المنوره'!AT12+'الشرقيه'!AT12+'الحدود الشماليه'!AT12+'تبوك'!AT12+'الجوف'!AT12+'حائل'!AT12+'نجران'!AT12+'القصيم'!AT12+'الباحه'!AT12+'عسير'!AT12+'جازان'!AT12+'جده'!AT12+'الطائف'!AT12+'العاصمه'!AU12+'القريات'!AT12</f>
        <v>266</v>
      </c>
      <c r="AU13" s="95">
        <f>'الرياض'!AU12+'المدينه المنوره'!AU12+'الشرقيه'!AU12+'الحدود الشماليه'!AU12+'تبوك'!AU12+'الجوف'!AU12+'حائل'!AU12+'نجران'!AU12+'القصيم'!AU12+'الباحه'!AU12+'عسير'!AU12+'جازان'!AU12+'جده'!AU12+'الطائف'!AU12+'العاصمه'!AV12+'القريات'!AU12</f>
        <v>10642</v>
      </c>
      <c r="AV13" s="24">
        <f t="shared" si="15"/>
        <v>81606</v>
      </c>
      <c r="AW13" s="24">
        <f t="shared" si="9"/>
        <v>10642</v>
      </c>
      <c r="AX13" s="95">
        <f>'الرياض'!AX12+'المدينه المنوره'!AX12+'الشرقيه'!AX12+'الحدود الشماليه'!AX12+'تبوك'!AX12+'الجوف'!AX12+'حائل'!AX12+'نجران'!AX12+'القصيم'!AX12+'الباحه'!AX12+'عسير'!AX12+'جازان'!AX12+'جده'!AX12+'الطائف'!AX12+'العاصمه'!AY12+'القريات'!AX12</f>
        <v>63908</v>
      </c>
      <c r="AY13" s="95">
        <f>'الرياض'!AY12+'المدينه المنوره'!AY12+'الشرقيه'!AY12+'الحدود الشماليه'!AY12+'تبوك'!AY12+'الجوف'!AY12+'حائل'!AY12+'نجران'!AY12+'القصيم'!AY12+'الباحه'!AY12+'عسير'!AY12+'جازان'!AY12+'جده'!AY12+'الطائف'!AY12+'العاصمه'!AZ12+'القريات'!AY12</f>
        <v>7056</v>
      </c>
      <c r="AZ13" s="95">
        <f t="shared" si="10"/>
        <v>81606</v>
      </c>
      <c r="BA13" s="95">
        <f>'الرياض'!BA12+'المدينه المنوره'!BA12+'الشرقيه'!BA12+'الحدود الشماليه'!BA12+'تبوك'!BA12+'الجوف'!BA12+'حائل'!BA12+'نجران'!BA12+'القصيم'!BA12+'الباحه'!BA12+'عسير'!BA12+'جازان'!BA12+'جده'!BA12+'الطائف'!BA12+'العاصمه'!BB12+'القريات'!BA12</f>
        <v>29201</v>
      </c>
      <c r="BB13" s="95">
        <f>'الرياض'!BB12+'المدينه المنوره'!BB12+'الشرقيه'!BB12+'الحدود الشماليه'!BB12+'تبوك'!BB12+'الجوف'!BB12+'حائل'!BB12+'نجران'!BB12+'القصيم'!BB12+'الباحه'!BB12+'عسير'!BB12+'جازان'!BB12+'جده'!BB12+'الطائف'!BB12+'العاصمه'!BC12+'القريات'!$BB12</f>
        <v>4839</v>
      </c>
      <c r="BC13" s="95">
        <f>'الرياض'!BC12+'المدينه المنوره'!BC12+'الشرقيه'!BC12+'الحدود الشماليه'!BC12+'تبوك'!BC12+'الجوف'!BC12+'حائل'!BC12+'نجران'!BC12+'القصيم'!BC12+'الباحه'!BC12+'عسير'!BC12+'جازان'!BC12+'جده'!BC12+'الطائف'!BC12+'العاصمه'!BD12+'القريات'!BC12</f>
        <v>749</v>
      </c>
      <c r="BD13" s="95">
        <f>'الرياض'!BD12+'المدينه المنوره'!BD12+'الشرقيه'!BD12+'الحدود الشماليه'!BD12+'تبوك'!BD12+'الجوف'!BD12+'حائل'!BD12+'نجران'!BD12+'القصيم'!BD12+'الباحه'!BD12+'عسير'!BD12+'جازان'!BD12+'جده'!BD12+'الطائف'!BD12+'العاصمه'!BE12+'القريات'!BD12</f>
        <v>107</v>
      </c>
      <c r="BE13" s="95">
        <f>'الرياض'!BE12+'المدينه المنوره'!BE12+'الشرقيه'!BE12+'الحدود الشماليه'!BE12+'تبوك'!BE12+'الجوف'!BE12+'حائل'!BE12+'نجران'!BE12+'القصيم'!BE12+'الباحه'!BE12+'عسير'!BE12+'جازان'!BE12+'جده'!BE12+'الطائف'!BE12+'العاصمه'!BF12+'القريات'!BE12</f>
        <v>88</v>
      </c>
      <c r="BF13" s="95">
        <f>'الرياض'!BF12+'المدينه المنوره'!BF12+'الشرقيه'!BF12+'الحدود الشماليه'!BF12+'تبوك'!BF12+'الجوف'!BF12+'حائل'!BF12+'نجران'!BF12+'القصيم'!BF12+'الباحه'!BF12+'عسير'!BF12+'جازان'!BF12+'جده'!BF12+'الطائف'!BF12+'العاصمه'!BG12+'القريات'!BF12</f>
        <v>1678</v>
      </c>
      <c r="BG13" s="95">
        <f>'الرياض'!BG12+'المدينه المنوره'!BG12+'الشرقيه'!BG12+'الحدود الشماليه'!BG12+'تبوك'!BG12+'الجوف'!BG12+'حائل'!BG12+'نجران'!BG12+'القصيم'!BG12+'الباحه'!BG12+'عسير'!BG12+'جازان'!BG12+'جده'!BG12+'الطائف'!BG12+'العاصمه'!BH12+'القريات'!BG12</f>
        <v>2350</v>
      </c>
      <c r="BH13" s="95">
        <f>'الرياض'!BH12+'المدينه المنوره'!BH12+'الشرقيه'!BH12+'الحدود الشماليه'!BH12+'تبوك'!BH12+'الجوف'!BH12+'حائل'!BH12+'نجران'!BH12+'القصيم'!BH12+'الباحه'!BH12+'عسير'!BH12+'جازان'!BH12+'جده'!BH12+'الطائف'!BH12+'العاصمه'!BI12+'القريات'!BH12</f>
        <v>2314</v>
      </c>
      <c r="BI13" s="95">
        <f t="shared" si="11"/>
        <v>41326</v>
      </c>
      <c r="BJ13" s="95">
        <f>'الرياض'!BJ12+'المدينه المنوره'!BJ12+'الشرقيه'!BJ12+'الحدود الشماليه'!BJ12+'تبوك'!BJ12+'الجوف'!BJ12+'حائل'!BJ12+'نجران'!BJ12+'القصيم'!BJ12+'الباحه'!BJ12+'عسير'!BJ12+'جازان'!BJ12+'جده'!BJ12+'الطائف'!BJ12+'العاصمه'!BK12+'القريات'!BJ12</f>
        <v>4071</v>
      </c>
      <c r="BK13" s="95">
        <f>'الرياض'!BK12+'المدينه المنوره'!BK12+'الشرقيه'!BK12+'الحدود الشماليه'!BK12+'تبوك'!BK12+'الجوف'!BK12+'حائل'!BK12+'نجران'!BK12+'القصيم'!BK12+'الباحه'!BK12+'عسير'!BK12+'جازان'!BK12+'جده'!BK12+'الطائف'!BK12+'العاصمه'!BL12+'القريات'!BK12</f>
        <v>3637</v>
      </c>
      <c r="BL13" s="95">
        <f>'الرياض'!BL12+'المدينه المنوره'!BL12+'الشرقيه'!BL12+'الحدود الشماليه'!BL12+'تبوك'!BL12+'الجوف'!BL12+'حائل'!BL12+'نجران'!BL12+'القصيم'!BL12+'الباحه'!BL12+'عسير'!BL12+'جازان'!BL12+'جده'!BL12+'الطائف'!BL12+'العاصمه'!BM12+'القريات'!BL12</f>
        <v>4377</v>
      </c>
      <c r="BM13" s="95">
        <f>'الرياض'!BM12+'المدينه المنوره'!BM12+'الشرقيه'!BM12+'الحدود الشماليه'!BM12+'تبوك'!BM12+'الجوف'!BM12+'حائل'!BM12+'نجران'!BM12+'القصيم'!BM12+'الباحه'!BM12+'عسير'!BM12+'جازان'!BM12+'جده'!BM12+'الطائف'!BM12+'العاصمه'!BN12+'القريات'!BM12</f>
        <v>3527</v>
      </c>
      <c r="BN13" s="95">
        <f>'الرياض'!BN12+'المدينه المنوره'!BN12+'الشرقيه'!BN12+'الحدود الشماليه'!BN12+'تبوك'!BN12+'الجوف'!BN12+'حائل'!BN12+'نجران'!BN12+'القصيم'!BN12+'الباحه'!BN12+'عسير'!BN12+'جازان'!BN12+'جده'!BN12+'الطائف'!BN12+'العاصمه'!BO12+'القريات'!BN12</f>
        <v>10113</v>
      </c>
      <c r="BO13" s="95">
        <f>'الرياض'!BO12+'المدينه المنوره'!BO12+'الشرقيه'!BO12+'الحدود الشماليه'!BO12+'تبوك'!BO12+'الجوف'!BO12+'حائل'!BO12+'نجران'!BO12+'القصيم'!BO12+'الباحه'!BO12+'عسير'!BO12+'جازان'!BO12+'جده'!BO12+'الطائف'!BO12+'العاصمه'!BP12+'القريات'!BO12</f>
        <v>2</v>
      </c>
      <c r="BP13" s="95">
        <f>'الرياض'!BP12+'المدينه المنوره'!BP12+'الشرقيه'!BP12+'الحدود الشماليه'!BP12+'تبوك'!BP12+'الجوف'!BP12+'حائل'!BP12+'نجران'!BP12+'القصيم'!BP12+'الباحه'!BP12+'عسير'!BP12+'جازان'!BP12+'جده'!BP12+'الطائف'!BP12+'العاصمه'!BQ12+'القريات'!BP12</f>
        <v>15599</v>
      </c>
      <c r="BQ13" s="24">
        <f t="shared" si="12"/>
        <v>41326</v>
      </c>
      <c r="BR13" s="97">
        <f>'الرياض'!BR12+'المدينه المنوره'!BR12+'الشرقيه'!BR12+'الحدود الشماليه'!BR12+'تبوك'!BR12+'الجوف'!BR12+'حائل'!BR12+'نجران'!BR12+'القصيم'!BR12+'الباحه'!BR12+'عسير'!BR12+'جازان'!BR12+'جده'!BR12+'الطائف'!BR12+'العاصمه'!BS12+'القريات'!BR12</f>
        <v>2856</v>
      </c>
      <c r="BS13" s="97">
        <f>'الرياض'!BS12+'المدينه المنوره'!BS12+'الشرقيه'!BS12+'الحدود الشماليه'!BS12+'تبوك'!BS12+'الجوف'!BS12+'حائل'!BS12+'نجران'!BS12+'القصيم'!BS12+'الباحه'!BS12+'عسير'!BS12+'جازان'!BS12+'جده'!BS12+'الطائف'!BS12+'العاصمه'!BT12+'القريات'!BS12</f>
        <v>720</v>
      </c>
      <c r="BT13" s="97">
        <f>'الرياض'!BT12+'المدينه المنوره'!BT12+'الشرقيه'!BT12+'الحدود الشماليه'!BT12+'تبوك'!BT12+'الجوف'!BT12+'حائل'!BT12+'نجران'!BT12+'القصيم'!BT12+'الباحه'!BT12+'عسير'!BT12+'جازان'!BT12+'جده'!BT12+'الطائف'!BT12+'العاصمه'!BU12+'القريات'!BT12</f>
        <v>64722</v>
      </c>
      <c r="BU13" s="98">
        <f t="shared" si="13"/>
        <v>68298</v>
      </c>
    </row>
    <row r="14" ht="24.0" customHeight="1">
      <c r="A14" s="24" t="s">
        <v>80</v>
      </c>
      <c r="B14" s="97">
        <f>'الرياض'!B13+'المدينه المنوره'!B13+'الشرقيه'!B13+'الحدود الشماليه'!B13+'تبوك'!B13+'الجوف'!B13+'حائل'!B13+'نجران'!B13+'القصيم'!B13+'الباحه'!B13+'عسير'!B13+'جازان'!B13+'جده'!B13+'الطائف'!B13+'العاصمه'!C13+'القريات'!B13</f>
        <v>36689</v>
      </c>
      <c r="C14" s="97">
        <f>'الرياض'!C13+'المدينه المنوره'!C13+'الشرقيه'!C13+'الحدود الشماليه'!C13+'تبوك'!C13+'الجوف'!C13+'حائل'!C13+'نجران'!C13+'القصيم'!C13+'الباحه'!C13+'عسير'!C13+'جازان'!C13+'جده'!C13+'الطائف'!C13+'العاصمه'!D13+'القريات'!C13</f>
        <v>1772</v>
      </c>
      <c r="D14" s="97">
        <f>'الرياض'!D13+'المدينه المنوره'!D13+'الشرقيه'!D13+'الحدود الشماليه'!D13+'تبوك'!D13+'الجوف'!D13+'حائل'!D13+'نجران'!D13+'القصيم'!D13+'الباحه'!D13+'عسير'!D13+'جازان'!D13+'جده'!D13+'الطائف'!D13+'العاصمه'!E13+'القريات'!D13</f>
        <v>589</v>
      </c>
      <c r="E14" s="98">
        <f t="shared" si="1"/>
        <v>39050</v>
      </c>
      <c r="F14" s="95">
        <f>'الرياض'!F13+'المدينه المنوره'!F13+'الشرقيه'!F13+'الحدود الشماليه'!F13+'تبوك'!F13+'الجوف'!F13+'حائل'!F13+'نجران'!F13+'القصيم'!F13+'الباحه'!F13+'عسير'!F13+'جازان'!F13+'جده'!F13+'الطائف'!F13+'العاصمه'!G13+'القريات'!F13</f>
        <v>6050</v>
      </c>
      <c r="G14" s="95">
        <f>'الرياض'!G13+'المدينه المنوره'!G13+'الشرقيه'!G13+'الحدود الشماليه'!G13+'تبوك'!G13+'الجوف'!G13+'حائل'!G13+'نجران'!G13+'القصيم'!G13+'الباحه'!G13+'عسير'!G13+'جازان'!G13+'جده'!G13+'الطائف'!G13+'العاصمه'!H13+'القريات'!G13</f>
        <v>5649</v>
      </c>
      <c r="H14" s="95">
        <f>'الرياض'!H13+'المدينه المنوره'!H13+'الشرقيه'!H13+'الحدود الشماليه'!H13+'تبوك'!H13+'الجوف'!H13+'حائل'!H13+'نجران'!H13+'القصيم'!H13+'الباحه'!H13+'عسير'!H13+'جازان'!H13+'جده'!H13+'الطائف'!H13+'العاصمه'!I13+'القريات'!H13</f>
        <v>5302</v>
      </c>
      <c r="I14" s="95">
        <f>'الرياض'!I13+'المدينه المنوره'!I13+'الشرقيه'!I13+'الحدود الشماليه'!I13+'تبوك'!I13+'الجوف'!I13+'حائل'!I13+'نجران'!I13+'القصيم'!I13+'الباحه'!I13+'عسير'!I13+'جازان'!I13+'جده'!I13+'الطائف'!I13+'العاصمه'!J13+'القريات'!I13</f>
        <v>5642</v>
      </c>
      <c r="J14" s="95">
        <f>'الرياض'!J13+'المدينه المنوره'!J13+'الشرقيه'!J13+'الحدود الشماليه'!J13+'تبوك'!J13+'الجوف'!J13+'حائل'!J13+'نجران'!J13+'القصيم'!J13+'الباحه'!J13+'عسير'!J13+'جازان'!J13+'جده'!J13+'الطائف'!J13+'العاصمه'!K13+'القريات'!J13</f>
        <v>5226</v>
      </c>
      <c r="K14" s="95">
        <f>'الرياض'!K13+'المدينه المنوره'!K13+'الشرقيه'!K13+'الحدود الشماليه'!K13+'تبوك'!K13+'الجوف'!K13+'حائل'!K13+'نجران'!K13+'القصيم'!K13+'الباحه'!K13+'عسير'!K13+'جازان'!K13+'جده'!K13+'الطائف'!K13+'العاصمه'!L13+'القريات'!K13</f>
        <v>5979</v>
      </c>
      <c r="L14" s="95">
        <f>'الرياض'!L13+'المدينه المنوره'!L13+'الشرقيه'!L13+'الحدود الشماليه'!L13+'تبوك'!L13+'الجوف'!L13+'حائل'!L13+'نجران'!L13+'القصيم'!L13+'الباحه'!L13+'عسير'!L13+'جازان'!L13+'جده'!L13+'الطائف'!L13+'العاصمه'!M13+'القريات'!L13</f>
        <v>5202</v>
      </c>
      <c r="M14" s="24">
        <f t="shared" si="14"/>
        <v>39050</v>
      </c>
      <c r="N14" s="95">
        <f>'الرياض'!N13+'المدينه المنوره'!N13+'الشرقيه'!N13+'الحدود الشماليه'!N13+'تبوك'!N13+'الجوف'!N13+'حائل'!N13+'نجران'!N13+'القصيم'!N13+'الباحه'!N13+'عسير'!N13+'جازان'!N13+'جده'!N13+'الطائف'!N13+'العاصمه'!O13+'القريات'!N13</f>
        <v>22846</v>
      </c>
      <c r="O14" s="95">
        <f>'الرياض'!O13+'المدينه المنوره'!O13+'الشرقيه'!O13+'الحدود الشماليه'!O13+'تبوك'!O13+'الجوف'!O13+'حائل'!O13+'نجران'!O13+'القصيم'!O13+'الباحه'!O13+'عسير'!O13+'جازان'!O13+'جده'!O13+'الطائف'!O13+'العاصمه'!P13+'القريات'!O13</f>
        <v>16204</v>
      </c>
      <c r="P14" s="24">
        <f t="shared" si="2"/>
        <v>39050</v>
      </c>
      <c r="Q14" s="95">
        <f>'الرياض'!Q13+'المدينه المنوره'!Q13+'الشرقيه'!Q13+'الحدود الشماليه'!Q13+'تبوك'!Q13+'الجوف'!Q13+'حائل'!Q13+'نجران'!Q13+'القصيم'!Q13+'الباحه'!Q13+'عسير'!Q13+'جازان'!Q13+'جده'!Q13+'الطائف'!Q13+'العاصمه'!R13+'القريات'!Q13</f>
        <v>26235</v>
      </c>
      <c r="R14" s="95">
        <f>'الرياض'!R13+'المدينه المنوره'!R13+'الشرقيه'!R13+'الحدود الشماليه'!R13+'تبوك'!R13+'الجوف'!R13+'حائل'!R13+'نجران'!R13+'القصيم'!R13+'الباحه'!R13+'عسير'!R13+'جازان'!R13+'جده'!R13+'الطائف'!R13+'العاصمه'!S13+'القريات'!R13</f>
        <v>12815</v>
      </c>
      <c r="S14" s="24">
        <f t="shared" si="3"/>
        <v>39050</v>
      </c>
      <c r="T14" s="95">
        <f>'الرياض'!T13+'المدينه المنوره'!T13+'الشرقيه'!T13+'الحدود الشماليه'!T13+'تبوك'!T13+'الجوف'!T13+'حائل'!T13+'نجران'!T13+'القصيم'!T13+'الباحه'!T13+'عسير'!T13+'جازان'!T13+'جده'!T13+'الطائف'!T13+'العاصمه'!U13+'القريات'!T13</f>
        <v>35113</v>
      </c>
      <c r="U14" s="95">
        <f>'الرياض'!U13+'المدينه المنوره'!U13+'الشرقيه'!U13+'الحدود الشماليه'!U13+'تبوك'!U13+'الجوف'!U13+'حائل'!U13+'نجران'!U13+'القصيم'!U13+'الباحه'!U13+'عسير'!U13+'جازان'!U13+'جده'!U13+'الطائف'!U13+'العاصمه'!V13+'القريات'!U13</f>
        <v>10068</v>
      </c>
      <c r="V14" s="95">
        <f>'الرياض'!V13+'المدينه المنوره'!V13+'الشرقيه'!V13+'الحدود الشماليه'!V13+'تبوك'!V13+'الجوف'!V13+'حائل'!V13+'نجران'!V13+'القصيم'!V13+'الباحه'!V13+'عسير'!V13+'جازان'!V13+'جده'!V13+'الطائف'!V13+'العاصمه'!W13+'القريات'!V13</f>
        <v>1725</v>
      </c>
      <c r="W14" s="95">
        <f>'الرياض'!W13+'المدينه المنوره'!W13+'الشرقيه'!W13+'الحدود الشماليه'!W13+'تبوك'!W13+'الجوف'!W13+'حائل'!W13+'نجران'!W13+'القصيم'!W13+'الباحه'!W13+'عسير'!W13+'جازان'!W13+'جده'!W13+'الطائف'!W13+'العاصمه'!X13+'القريات'!W13</f>
        <v>11701</v>
      </c>
      <c r="X14" s="95">
        <f>'الرياض'!X13+'المدينه المنوره'!X13+'الشرقيه'!X13+'الحدود الشماليه'!X13+'تبوك'!X13+'الجوف'!X13+'حائل'!X13+'نجران'!X13+'القصيم'!X13+'الباحه'!X13+'عسير'!X13+'جازان'!X13+'جده'!X13+'الطائف'!X13+'العاصمه'!Y13+'القريات'!X13</f>
        <v>5234</v>
      </c>
      <c r="Y14" s="95">
        <f>'الرياض'!Y13+'المدينه المنوره'!Y13+'الشرقيه'!Y13+'الحدود الشماليه'!Y13+'تبوك'!Y13+'الجوف'!Y13+'حائل'!Y13+'نجران'!Y13+'القصيم'!Y13+'الباحه'!Y13+'عسير'!Y13+'جازان'!Y13+'جده'!Y13+'الطائف'!Y13+'العاصمه'!Z13+'القريات'!Y13</f>
        <v>1585</v>
      </c>
      <c r="Z14" s="95">
        <f>'الرياض'!Z13+'المدينه المنوره'!Z13+'الشرقيه'!Z13+'الحدود الشماليه'!Z13+'تبوك'!Z13+'الجوف'!Z13+'حائل'!Z13+'نجران'!Z13+'القصيم'!Z13+'الباحه'!Z13+'عسير'!Z13+'جازان'!Z13+'جده'!Z13+'الطائف'!Z13+'العاصمه'!AA13+'القريات'!Z13</f>
        <v>2783</v>
      </c>
      <c r="AA14" s="24">
        <f t="shared" si="4"/>
        <v>68209</v>
      </c>
      <c r="AB14" s="95">
        <f>'الرياض'!AB13+'المدينه المنوره'!AB13+'الشرقيه'!AB13+'الحدود الشماليه'!AB13+'تبوك'!AB13+'الجوف'!AB13+'حائل'!AB13+'نجران'!AB13+'القصيم'!AB13+'الباحه'!AB13+'عسير'!AB13+'جازان'!AB13+'جده'!AB13+'الطائف'!AB13+'العاصمه'!AC13+'القريات'!AB13</f>
        <v>8544</v>
      </c>
      <c r="AC14" s="95">
        <f>'الرياض'!AC13+'المدينه المنوره'!AC13+'الشرقيه'!AC13+'الحدود الشماليه'!AC13+'تبوك'!AC13+'الجوف'!AC13+'حائل'!AC13+'نجران'!AC13+'القصيم'!AC13+'الباحه'!AC13+'عسير'!AC13+'جازان'!AC13+'جده'!AC13+'الطائف'!AC13+'العاصمه'!AD13+'القريات'!AC13</f>
        <v>24686</v>
      </c>
      <c r="AD14" s="95">
        <f>'الرياض'!AD13+'المدينه المنوره'!AD13+'الشرقيه'!AD13+'الحدود الشماليه'!AD13+'تبوك'!AD13+'الجوف'!AD13+'حائل'!AD13+'نجران'!AD13+'القصيم'!AD13+'الباحه'!AD13+'عسير'!AD13+'جازان'!AD13+'جده'!AD13+'الطائف'!AD13+'العاصمه'!AE13+'القريات'!AD13</f>
        <v>21710</v>
      </c>
      <c r="AE14" s="95">
        <f>'الرياض'!AE13+'المدينه المنوره'!AE13+'الشرقيه'!AE13+'الحدود الشماليه'!AE13+'تبوك'!AE13+'الجوف'!AE13+'حائل'!AE13+'نجران'!AE13+'القصيم'!AE13+'الباحه'!AE13+'عسير'!AE13+'جازان'!AE13+'جده'!AE13+'الطائف'!AE13+'العاصمه'!AF13+'القريات'!AE13</f>
        <v>11654</v>
      </c>
      <c r="AF14" s="95">
        <f>'الرياض'!AF13+'المدينه المنوره'!AF13+'الشرقيه'!AF13+'الحدود الشماليه'!AF13+'تبوك'!AF13+'الجوف'!AF13+'حائل'!AF13+'نجران'!AF13+'القصيم'!AF13+'الباحه'!AF13+'عسير'!AF13+'جازان'!AF13+'جده'!AF13+'الطائف'!AF13+'العاصمه'!AG13+'القريات'!AF13</f>
        <v>7823</v>
      </c>
      <c r="AG14" s="24">
        <f t="shared" si="5"/>
        <v>74417</v>
      </c>
      <c r="AH14" s="95">
        <f>'الرياض'!AH13+'المدينه المنوره'!AH13+'الشرقيه'!AH13+'الحدود الشماليه'!AH13+'تبوك'!AH13+'الجوف'!AH13+'حائل'!AH13+'نجران'!AH13+'القصيم'!AH13+'الباحه'!AH13+'عسير'!AH13+'جازان'!AH13+'جده'!AH13+'الطائف'!AH13+'العاصمه'!AI13+'القريات'!AH13</f>
        <v>46810</v>
      </c>
      <c r="AI14" s="95">
        <f>'الرياض'!AI13+'المدينه المنوره'!AI13+'الشرقيه'!AI13+'الحدود الشماليه'!AI13+'تبوك'!AI13+'الجوف'!AI13+'حائل'!AI13+'نجران'!AI13+'القصيم'!AI13+'الباحه'!AI13+'عسير'!AI13+'جازان'!AI13+'جده'!AI13+'الطائف'!AI13+'العاصمه'!AJ13+'القريات'!AI13</f>
        <v>27607</v>
      </c>
      <c r="AJ14" s="24">
        <f t="shared" si="6"/>
        <v>74417</v>
      </c>
      <c r="AK14" s="95">
        <f>'الرياض'!AK13+'المدينه المنوره'!AK13+'الشرقيه'!AK13+'الحدود الشماليه'!AK13+'تبوك'!AK13+'الجوف'!AK13+'حائل'!AK13+'نجران'!AK13+'القصيم'!AK13+'الباحه'!AK13+'عسير'!AK13+'جازان'!AK13+'جده'!AK13+'الطائف'!AK13+'العاصمه'!AL13+'القريات'!AK13</f>
        <v>46633</v>
      </c>
      <c r="AL14" s="95">
        <f>'الرياض'!AL13+'المدينه المنوره'!AL13+'الشرقيه'!AL13+'الحدود الشماليه'!AL13+'تبوك'!AL13+'الجوف'!AL13+'حائل'!AL13+'نجران'!AL13+'القصيم'!AL13+'الباحه'!AL13+'عسير'!AL13+'جازان'!AL13+'جده'!AL13+'الطائف'!AL13+'العاصمه'!AM13+'القريات'!AL13</f>
        <v>27784</v>
      </c>
      <c r="AM14" s="24">
        <f t="shared" si="7"/>
        <v>74417</v>
      </c>
      <c r="AN14" s="95">
        <f>'الرياض'!AN13+'المدينه المنوره'!AN13+'الشرقيه'!AN13+'الحدود الشماليه'!AN13+'تبوك'!AN13+'الجوف'!AN13+'حائل'!AN13+'نجران'!AN13+'القصيم'!AN13+'الباحه'!AN13+'عسير'!AN13+'جازان'!AN13+'جده'!AN13+'الطائف'!AN13+'العاصمه'!AO13+'القريات'!AN13</f>
        <v>72968</v>
      </c>
      <c r="AO14" s="95">
        <f>'الرياض'!AO13+'المدينه المنوره'!AO13+'الشرقيه'!AO13+'الحدود الشماليه'!AO13+'تبوك'!AO13+'الجوف'!AO13+'حائل'!AO13+'نجران'!AO13+'القصيم'!AO13+'الباحه'!AO13+'عسير'!AO13+'جازان'!AO13+'جده'!AO13+'الطائف'!AO13+'العاصمه'!AP13+'القريات'!AO13</f>
        <v>1449</v>
      </c>
      <c r="AP14" s="24">
        <f t="shared" si="8"/>
        <v>74417</v>
      </c>
      <c r="AQ14" s="95">
        <f>'الرياض'!AQ13+'المدينه المنوره'!AQ13+'الشرقيه'!AQ13+'الحدود الشماليه'!AQ13+'تبوك'!AQ13+'الجوف'!AQ13+'حائل'!AQ13+'نجران'!AQ13+'القصيم'!AQ13+'الباحه'!AQ13+'عسير'!AQ13+'جازان'!AQ13+'جده'!AQ13+'الطائف'!AQ13+'العاصمه'!AR13+'القريات'!AQ13</f>
        <v>53162</v>
      </c>
      <c r="AR14" s="95">
        <f>'الرياض'!AR13+'المدينه المنوره'!AR13+'الشرقيه'!AR13+'الحدود الشماليه'!AR13+'تبوك'!AR13+'الجوف'!AR13+'حائل'!AR13+'نجران'!AR13+'القصيم'!AR13+'الباحه'!AR13+'عسير'!AR13+'جازان'!AR13+'جده'!AR13+'الطائف'!AR13+'العاصمه'!AS13+'القريات'!AR13</f>
        <v>11418</v>
      </c>
      <c r="AS14" s="95">
        <f>'الرياض'!AS13+'المدينه المنوره'!AS13+'الشرقيه'!AS13+'الحدود الشماليه'!AS13+'تبوك'!AS13+'الجوف'!AS13+'حائل'!AS13+'نجران'!AS13+'القصيم'!AS13+'الباحه'!AS13+'عسير'!AS13+'جازان'!AS13+'جده'!AS13+'الطائف'!AS13+'العاصمه'!AT13+'القريات'!AS13</f>
        <v>907</v>
      </c>
      <c r="AT14" s="95">
        <f>'الرياض'!AT13+'المدينه المنوره'!AT13+'الشرقيه'!AT13+'الحدود الشماليه'!AT13+'تبوك'!AT13+'الجوف'!AT13+'حائل'!AT13+'نجران'!AT13+'القصيم'!AT13+'الباحه'!AT13+'عسير'!AT13+'جازان'!AT13+'جده'!AT13+'الطائف'!AT13+'العاصمه'!AU13+'القريات'!AT13</f>
        <v>292</v>
      </c>
      <c r="AU14" s="95">
        <f>'الرياض'!AU13+'المدينه المنوره'!AU13+'الشرقيه'!AU13+'الحدود الشماليه'!AU13+'تبوك'!AU13+'الجوف'!AU13+'حائل'!AU13+'نجران'!AU13+'القصيم'!AU13+'الباحه'!AU13+'عسير'!AU13+'جازان'!AU13+'جده'!AU13+'الطائف'!AU13+'العاصمه'!AV13+'القريات'!AU13</f>
        <v>8638</v>
      </c>
      <c r="AV14" s="24">
        <f t="shared" si="15"/>
        <v>74417</v>
      </c>
      <c r="AW14" s="24">
        <f t="shared" si="9"/>
        <v>8638</v>
      </c>
      <c r="AX14" s="95">
        <f>'الرياض'!AX13+'المدينه المنوره'!AX13+'الشرقيه'!AX13+'الحدود الشماليه'!AX13+'تبوك'!AX13+'الجوف'!AX13+'حائل'!AX13+'نجران'!AX13+'القصيم'!AX13+'الباحه'!AX13+'عسير'!AX13+'جازان'!AX13+'جده'!AX13+'الطائف'!AX13+'العاصمه'!AY13+'القريات'!AX13</f>
        <v>60950</v>
      </c>
      <c r="AY14" s="95">
        <f>'الرياض'!AY13+'المدينه المنوره'!AY13+'الشرقيه'!AY13+'الحدود الشماليه'!AY13+'تبوك'!AY13+'الجوف'!AY13+'حائل'!AY13+'نجران'!AY13+'القصيم'!AY13+'الباحه'!AY13+'عسير'!AY13+'جازان'!AY13+'جده'!AY13+'الطائف'!AY13+'العاصمه'!AZ13+'القريات'!AY13</f>
        <v>4829</v>
      </c>
      <c r="AZ14" s="95">
        <f t="shared" si="10"/>
        <v>74417</v>
      </c>
      <c r="BA14" s="95">
        <f>'الرياض'!BA13+'المدينه المنوره'!BA13+'الشرقيه'!BA13+'الحدود الشماليه'!BA13+'تبوك'!BA13+'الجوف'!BA13+'حائل'!BA13+'نجران'!BA13+'القصيم'!BA13+'الباحه'!BA13+'عسير'!BA13+'جازان'!BA13+'جده'!BA13+'الطائف'!BA13+'العاصمه'!BB13+'القريات'!BA13</f>
        <v>27747</v>
      </c>
      <c r="BB14" s="95">
        <f>'الرياض'!BB13+'المدينه المنوره'!BB13+'الشرقيه'!BB13+'الحدود الشماليه'!BB13+'تبوك'!BB13+'الجوف'!BB13+'حائل'!BB13+'نجران'!BB13+'القصيم'!BB13+'الباحه'!BB13+'عسير'!BB13+'جازان'!BB13+'جده'!BB13+'الطائف'!BB13+'العاصمه'!BC13+'القريات'!$BB13</f>
        <v>4516</v>
      </c>
      <c r="BC14" s="95">
        <f>'الرياض'!BC13+'المدينه المنوره'!BC13+'الشرقيه'!BC13+'الحدود الشماليه'!BC13+'تبوك'!BC13+'الجوف'!BC13+'حائل'!BC13+'نجران'!BC13+'القصيم'!BC13+'الباحه'!BC13+'عسير'!BC13+'جازان'!BC13+'جده'!BC13+'الطائف'!BC13+'العاصمه'!BD13+'القريات'!BC13</f>
        <v>1129</v>
      </c>
      <c r="BD14" s="95">
        <f>'الرياض'!BD13+'المدينه المنوره'!BD13+'الشرقيه'!BD13+'الحدود الشماليه'!BD13+'تبوك'!BD13+'الجوف'!BD13+'حائل'!BD13+'نجران'!BD13+'القصيم'!BD13+'الباحه'!BD13+'عسير'!BD13+'جازان'!BD13+'جده'!BD13+'الطائف'!BD13+'العاصمه'!BE13+'القريات'!BD13</f>
        <v>84</v>
      </c>
      <c r="BE14" s="95">
        <f>'الرياض'!BE13+'المدينه المنوره'!BE13+'الشرقيه'!BE13+'الحدود الشماليه'!BE13+'تبوك'!BE13+'الجوف'!BE13+'حائل'!BE13+'نجران'!BE13+'القصيم'!BE13+'الباحه'!BE13+'عسير'!BE13+'جازان'!BE13+'جده'!BE13+'الطائف'!BE13+'العاصمه'!BF13+'القريات'!BE13</f>
        <v>107</v>
      </c>
      <c r="BF14" s="95">
        <f>'الرياض'!BF13+'المدينه المنوره'!BF13+'الشرقيه'!BF13+'الحدود الشماليه'!BF13+'تبوك'!BF13+'الجوف'!BF13+'حائل'!BF13+'نجران'!BF13+'القصيم'!BF13+'الباحه'!BF13+'عسير'!BF13+'جازان'!BF13+'جده'!BF13+'الطائف'!BF13+'العاصمه'!BG13+'القريات'!BF13</f>
        <v>1809</v>
      </c>
      <c r="BG14" s="95">
        <f>'الرياض'!BG13+'المدينه المنوره'!BG13+'الشرقيه'!BG13+'الحدود الشماليه'!BG13+'تبوك'!BG13+'الجوف'!BG13+'حائل'!BG13+'نجران'!BG13+'القصيم'!BG13+'الباحه'!BG13+'عسير'!BG13+'جازان'!BG13+'جده'!BG13+'الطائف'!BG13+'العاصمه'!BH13+'القريات'!BG13</f>
        <v>1577</v>
      </c>
      <c r="BH14" s="95">
        <f>'الرياض'!BH13+'المدينه المنوره'!BH13+'الشرقيه'!BH13+'الحدود الشماليه'!BH13+'تبوك'!BH13+'الجوف'!BH13+'حائل'!BH13+'نجران'!BH13+'القصيم'!BH13+'الباحه'!BH13+'عسير'!BH13+'جازان'!BH13+'جده'!BH13+'الطائف'!BH13+'العاصمه'!BI13+'القريات'!BH13</f>
        <v>2081</v>
      </c>
      <c r="BI14" s="95">
        <f t="shared" si="11"/>
        <v>39050</v>
      </c>
      <c r="BJ14" s="95">
        <f>'الرياض'!BJ13+'المدينه المنوره'!BJ13+'الشرقيه'!BJ13+'الحدود الشماليه'!BJ13+'تبوك'!BJ13+'الجوف'!BJ13+'حائل'!BJ13+'نجران'!BJ13+'القصيم'!BJ13+'الباحه'!BJ13+'عسير'!BJ13+'جازان'!BJ13+'جده'!BJ13+'الطائف'!BJ13+'العاصمه'!BK13+'القريات'!BJ13</f>
        <v>3402</v>
      </c>
      <c r="BK14" s="95">
        <f>'الرياض'!BK13+'المدينه المنوره'!BK13+'الشرقيه'!BK13+'الحدود الشماليه'!BK13+'تبوك'!BK13+'الجوف'!BK13+'حائل'!BK13+'نجران'!BK13+'القصيم'!BK13+'الباحه'!BK13+'عسير'!BK13+'جازان'!BK13+'جده'!BK13+'الطائف'!BK13+'العاصمه'!BL13+'القريات'!BK13</f>
        <v>4623</v>
      </c>
      <c r="BL14" s="95">
        <f>'الرياض'!BL13+'المدينه المنوره'!BL13+'الشرقيه'!BL13+'الحدود الشماليه'!BL13+'تبوك'!BL13+'الجوف'!BL13+'حائل'!BL13+'نجران'!BL13+'القصيم'!BL13+'الباحه'!BL13+'عسير'!BL13+'جازان'!BL13+'جده'!BL13+'الطائف'!BL13+'العاصمه'!BM13+'القريات'!BL13</f>
        <v>4450</v>
      </c>
      <c r="BM14" s="95">
        <f>'الرياض'!BM13+'المدينه المنوره'!BM13+'الشرقيه'!BM13+'الحدود الشماليه'!BM13+'تبوك'!BM13+'الجوف'!BM13+'حائل'!BM13+'نجران'!BM13+'القصيم'!BM13+'الباحه'!BM13+'عسير'!BM13+'جازان'!BM13+'جده'!BM13+'الطائف'!BM13+'العاصمه'!BN13+'القريات'!BM13</f>
        <v>2657</v>
      </c>
      <c r="BN14" s="95">
        <f>'الرياض'!BN13+'المدينه المنوره'!BN13+'الشرقيه'!BN13+'الحدود الشماليه'!BN13+'تبوك'!BN13+'الجوف'!BN13+'حائل'!BN13+'نجران'!BN13+'القصيم'!BN13+'الباحه'!BN13+'عسير'!BN13+'جازان'!BN13+'جده'!BN13+'الطائف'!BN13+'العاصمه'!BO13+'القريات'!BN13</f>
        <v>9156</v>
      </c>
      <c r="BO14" s="95">
        <f>'الرياض'!BO13+'المدينه المنوره'!BO13+'الشرقيه'!BO13+'الحدود الشماليه'!BO13+'تبوك'!BO13+'الجوف'!BO13+'حائل'!BO13+'نجران'!BO13+'القصيم'!BO13+'الباحه'!BO13+'عسير'!BO13+'جازان'!BO13+'جده'!BO13+'الطائف'!BO13+'العاصمه'!BP13+'القريات'!BO13</f>
        <v>3</v>
      </c>
      <c r="BP14" s="95">
        <f>'الرياض'!BP13+'المدينه المنوره'!BP13+'الشرقيه'!BP13+'الحدود الشماليه'!BP13+'تبوك'!BP13+'الجوف'!BP13+'حائل'!BP13+'نجران'!BP13+'القصيم'!BP13+'الباحه'!BP13+'عسير'!BP13+'جازان'!BP13+'جده'!BP13+'الطائف'!BP13+'العاصمه'!BQ13+'القريات'!BP13</f>
        <v>14759</v>
      </c>
      <c r="BQ14" s="24">
        <f t="shared" si="12"/>
        <v>39050</v>
      </c>
      <c r="BR14" s="97">
        <f>'الرياض'!BR13+'المدينه المنوره'!BR13+'الشرقيه'!BR13+'الحدود الشماليه'!BR13+'تبوك'!BR13+'الجوف'!BR13+'حائل'!BR13+'نجران'!BR13+'القصيم'!BR13+'الباحه'!BR13+'عسير'!BR13+'جازان'!BR13+'جده'!BR13+'الطائف'!BR13+'العاصمه'!BS13+'القريات'!BR13</f>
        <v>3029</v>
      </c>
      <c r="BS14" s="97">
        <f>'الرياض'!BS13+'المدينه المنوره'!BS13+'الشرقيه'!BS13+'الحدود الشماليه'!BS13+'تبوك'!BS13+'الجوف'!BS13+'حائل'!BS13+'نجران'!BS13+'القصيم'!BS13+'الباحه'!BS13+'عسير'!BS13+'جازان'!BS13+'جده'!BS13+'الطائف'!BS13+'العاصمه'!BT13+'القريات'!BS13</f>
        <v>767</v>
      </c>
      <c r="BT14" s="97">
        <f>'الرياض'!BT13+'المدينه المنوره'!BT13+'الشرقيه'!BT13+'الحدود الشماليه'!BT13+'تبوك'!BT13+'الجوف'!BT13+'حائل'!BT13+'نجران'!BT13+'القصيم'!BT13+'الباحه'!BT13+'عسير'!BT13+'جازان'!BT13+'جده'!BT13+'الطائف'!BT13+'العاصمه'!BU13+'القريات'!BT13</f>
        <v>59068</v>
      </c>
      <c r="BU14" s="98">
        <f t="shared" si="13"/>
        <v>62864</v>
      </c>
    </row>
    <row r="15" ht="24.0" customHeight="1">
      <c r="A15" s="24" t="s">
        <v>47</v>
      </c>
      <c r="B15" s="98">
        <f t="shared" ref="B15:R15" si="16">SUM(B3:B14)</f>
        <v>503976</v>
      </c>
      <c r="C15" s="98">
        <f t="shared" si="16"/>
        <v>22449</v>
      </c>
      <c r="D15" s="98">
        <f t="shared" si="16"/>
        <v>6955</v>
      </c>
      <c r="E15" s="98">
        <f t="shared" si="16"/>
        <v>533380</v>
      </c>
      <c r="F15" s="24">
        <f t="shared" si="16"/>
        <v>76803</v>
      </c>
      <c r="G15" s="24">
        <f t="shared" si="16"/>
        <v>80731</v>
      </c>
      <c r="H15" s="24">
        <f t="shared" si="16"/>
        <v>75491</v>
      </c>
      <c r="I15" s="24">
        <f t="shared" si="16"/>
        <v>75634</v>
      </c>
      <c r="J15" s="24">
        <f t="shared" si="16"/>
        <v>74587</v>
      </c>
      <c r="K15" s="24">
        <f t="shared" si="16"/>
        <v>80398</v>
      </c>
      <c r="L15" s="24">
        <f t="shared" si="16"/>
        <v>69736</v>
      </c>
      <c r="M15" s="24">
        <f t="shared" si="16"/>
        <v>533380</v>
      </c>
      <c r="N15" s="24">
        <f t="shared" si="16"/>
        <v>328460</v>
      </c>
      <c r="O15" s="24">
        <f t="shared" si="16"/>
        <v>204920</v>
      </c>
      <c r="P15" s="24">
        <f t="shared" si="16"/>
        <v>533380</v>
      </c>
      <c r="Q15" s="24">
        <f t="shared" si="16"/>
        <v>387217</v>
      </c>
      <c r="R15" s="24">
        <f t="shared" si="16"/>
        <v>146163</v>
      </c>
      <c r="S15" s="24">
        <f t="shared" si="3"/>
        <v>533380</v>
      </c>
      <c r="T15" s="34">
        <f t="shared" ref="T15:Z15" si="17">SUM(T3:T14)</f>
        <v>461377</v>
      </c>
      <c r="U15" s="24">
        <f t="shared" si="17"/>
        <v>133656</v>
      </c>
      <c r="V15" s="24">
        <f t="shared" si="17"/>
        <v>17164</v>
      </c>
      <c r="W15" s="24">
        <f t="shared" si="17"/>
        <v>156595</v>
      </c>
      <c r="X15" s="24">
        <f t="shared" si="17"/>
        <v>76678</v>
      </c>
      <c r="Y15" s="24">
        <f t="shared" si="17"/>
        <v>10683</v>
      </c>
      <c r="Z15" s="24">
        <f t="shared" si="17"/>
        <v>27773</v>
      </c>
      <c r="AA15" s="24">
        <f t="shared" si="4"/>
        <v>883926</v>
      </c>
      <c r="AB15" s="24">
        <f t="shared" ref="AB15:BH15" si="18">SUM(AB3:AB14)</f>
        <v>124057</v>
      </c>
      <c r="AC15" s="24">
        <f t="shared" si="18"/>
        <v>336704</v>
      </c>
      <c r="AD15" s="24">
        <f t="shared" si="18"/>
        <v>274807</v>
      </c>
      <c r="AE15" s="24">
        <f t="shared" si="18"/>
        <v>148270</v>
      </c>
      <c r="AF15" s="24">
        <f t="shared" si="18"/>
        <v>76090</v>
      </c>
      <c r="AG15" s="24">
        <f t="shared" si="18"/>
        <v>959928</v>
      </c>
      <c r="AH15" s="24">
        <f t="shared" si="18"/>
        <v>603883</v>
      </c>
      <c r="AI15" s="24">
        <f t="shared" si="18"/>
        <v>356045</v>
      </c>
      <c r="AJ15" s="100">
        <f t="shared" si="18"/>
        <v>959928</v>
      </c>
      <c r="AK15" s="24">
        <f t="shared" si="18"/>
        <v>557767</v>
      </c>
      <c r="AL15" s="24">
        <f t="shared" si="18"/>
        <v>402161</v>
      </c>
      <c r="AM15" s="100">
        <f t="shared" si="18"/>
        <v>959928</v>
      </c>
      <c r="AN15" s="24">
        <f t="shared" si="18"/>
        <v>940096</v>
      </c>
      <c r="AO15" s="24">
        <f t="shared" si="18"/>
        <v>19832</v>
      </c>
      <c r="AP15" s="100">
        <f t="shared" si="18"/>
        <v>959928</v>
      </c>
      <c r="AQ15" s="24">
        <f t="shared" si="18"/>
        <v>642098</v>
      </c>
      <c r="AR15" s="24">
        <f t="shared" si="18"/>
        <v>190063</v>
      </c>
      <c r="AS15" s="24">
        <f t="shared" si="18"/>
        <v>5280</v>
      </c>
      <c r="AT15" s="24">
        <f t="shared" si="18"/>
        <v>4455</v>
      </c>
      <c r="AU15" s="24">
        <f t="shared" si="18"/>
        <v>118032</v>
      </c>
      <c r="AV15" s="100">
        <f t="shared" si="18"/>
        <v>959928</v>
      </c>
      <c r="AW15" s="24">
        <f t="shared" si="18"/>
        <v>118032</v>
      </c>
      <c r="AX15" s="24">
        <f t="shared" si="18"/>
        <v>734692</v>
      </c>
      <c r="AY15" s="24">
        <f t="shared" si="18"/>
        <v>107204</v>
      </c>
      <c r="AZ15" s="24">
        <f t="shared" si="18"/>
        <v>959928</v>
      </c>
      <c r="BA15" s="95">
        <f t="shared" si="18"/>
        <v>379113</v>
      </c>
      <c r="BB15" s="95">
        <f t="shared" si="18"/>
        <v>58743</v>
      </c>
      <c r="BC15" s="95">
        <f t="shared" si="18"/>
        <v>9296</v>
      </c>
      <c r="BD15" s="95">
        <f t="shared" si="18"/>
        <v>965</v>
      </c>
      <c r="BE15" s="95">
        <f t="shared" si="18"/>
        <v>900</v>
      </c>
      <c r="BF15" s="95">
        <f t="shared" si="18"/>
        <v>27229</v>
      </c>
      <c r="BG15" s="95">
        <f t="shared" si="18"/>
        <v>31880</v>
      </c>
      <c r="BH15" s="95">
        <f t="shared" si="18"/>
        <v>25254</v>
      </c>
      <c r="BI15" s="95">
        <f t="shared" si="11"/>
        <v>533380</v>
      </c>
      <c r="BJ15" s="24">
        <f t="shared" ref="BJ15:BU15" si="19">SUM(BJ3:BJ14)</f>
        <v>55377</v>
      </c>
      <c r="BK15" s="24">
        <f t="shared" si="19"/>
        <v>52861</v>
      </c>
      <c r="BL15" s="24">
        <f t="shared" si="19"/>
        <v>58706</v>
      </c>
      <c r="BM15" s="24">
        <f t="shared" si="19"/>
        <v>50256</v>
      </c>
      <c r="BN15" s="24">
        <f t="shared" si="19"/>
        <v>136708</v>
      </c>
      <c r="BO15" s="24">
        <f t="shared" si="19"/>
        <v>110</v>
      </c>
      <c r="BP15" s="24">
        <f t="shared" si="19"/>
        <v>179362</v>
      </c>
      <c r="BQ15" s="101">
        <f t="shared" si="19"/>
        <v>533380</v>
      </c>
      <c r="BR15" s="98">
        <f t="shared" si="19"/>
        <v>38120</v>
      </c>
      <c r="BS15" s="98">
        <f t="shared" si="19"/>
        <v>9031</v>
      </c>
      <c r="BT15" s="98">
        <f t="shared" si="19"/>
        <v>917565</v>
      </c>
      <c r="BU15" s="98">
        <f t="shared" si="19"/>
        <v>964716</v>
      </c>
    </row>
    <row r="16" ht="12.75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15">
    <mergeCell ref="AK1:AM1"/>
    <mergeCell ref="AN1:AP1"/>
    <mergeCell ref="AQ1:AT1"/>
    <mergeCell ref="AX1:AY1"/>
    <mergeCell ref="BA1:BB1"/>
    <mergeCell ref="BC1:BD1"/>
    <mergeCell ref="BJ1:BQ1"/>
    <mergeCell ref="BR1:BU1"/>
    <mergeCell ref="B1:D1"/>
    <mergeCell ref="F1:M1"/>
    <mergeCell ref="N1:P1"/>
    <mergeCell ref="Q1:S1"/>
    <mergeCell ref="T1:AA1"/>
    <mergeCell ref="AB1:AG1"/>
    <mergeCell ref="AH1:AJ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3" width="8.0"/>
  </cols>
  <sheetData>
    <row r="1" ht="124.5" customHeight="1">
      <c r="A1" s="2" t="s">
        <v>1</v>
      </c>
      <c r="B1" s="3" t="s">
        <v>2</v>
      </c>
      <c r="C1" s="3" t="s">
        <v>3</v>
      </c>
      <c r="D1" s="4" t="s">
        <v>4</v>
      </c>
      <c r="E1" s="5" t="s">
        <v>5</v>
      </c>
      <c r="F1" s="2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6" t="s">
        <v>13</v>
      </c>
      <c r="N1" s="2" t="s">
        <v>14</v>
      </c>
      <c r="O1" s="3" t="s">
        <v>15</v>
      </c>
      <c r="P1" s="6" t="s">
        <v>16</v>
      </c>
      <c r="Q1" s="2" t="s">
        <v>17</v>
      </c>
      <c r="R1" s="3" t="s">
        <v>18</v>
      </c>
      <c r="S1" s="6" t="s">
        <v>19</v>
      </c>
      <c r="T1" s="2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6" t="s">
        <v>27</v>
      </c>
      <c r="AB1" s="2">
        <v>-18.0</v>
      </c>
      <c r="AC1" s="3" t="s">
        <v>28</v>
      </c>
      <c r="AD1" s="3" t="s">
        <v>29</v>
      </c>
      <c r="AE1" s="3" t="s">
        <v>30</v>
      </c>
      <c r="AF1" s="3" t="s">
        <v>31</v>
      </c>
      <c r="AG1" s="6" t="s">
        <v>32</v>
      </c>
      <c r="AH1" s="2" t="s">
        <v>33</v>
      </c>
      <c r="AI1" s="3" t="s">
        <v>34</v>
      </c>
      <c r="AJ1" s="6" t="s">
        <v>35</v>
      </c>
      <c r="AK1" s="2" t="s">
        <v>36</v>
      </c>
      <c r="AL1" s="3" t="s">
        <v>37</v>
      </c>
      <c r="AM1" s="6" t="s">
        <v>38</v>
      </c>
      <c r="AN1" s="2" t="s">
        <v>39</v>
      </c>
      <c r="AO1" s="3" t="s">
        <v>40</v>
      </c>
      <c r="AP1" s="6" t="s">
        <v>41</v>
      </c>
      <c r="AQ1" s="2" t="s">
        <v>42</v>
      </c>
      <c r="AR1" s="3" t="s">
        <v>43</v>
      </c>
      <c r="AS1" s="3" t="s">
        <v>44</v>
      </c>
      <c r="AT1" s="3" t="s">
        <v>45</v>
      </c>
      <c r="AU1" s="7" t="s">
        <v>46</v>
      </c>
      <c r="AV1" s="8" t="s">
        <v>47</v>
      </c>
      <c r="AW1" s="9" t="s">
        <v>46</v>
      </c>
      <c r="AX1" s="3" t="s">
        <v>48</v>
      </c>
      <c r="AY1" s="3" t="s">
        <v>49</v>
      </c>
      <c r="AZ1" s="10" t="s">
        <v>47</v>
      </c>
      <c r="BA1" s="11" t="s">
        <v>50</v>
      </c>
      <c r="BB1" s="12" t="s">
        <v>51</v>
      </c>
      <c r="BC1" s="12" t="s">
        <v>52</v>
      </c>
      <c r="BD1" s="12" t="s">
        <v>53</v>
      </c>
      <c r="BE1" s="13" t="s">
        <v>54</v>
      </c>
      <c r="BF1" s="14" t="s">
        <v>55</v>
      </c>
      <c r="BG1" s="14" t="s">
        <v>56</v>
      </c>
      <c r="BH1" s="15" t="s">
        <v>57</v>
      </c>
      <c r="BI1" s="16" t="s">
        <v>47</v>
      </c>
      <c r="BJ1" s="16" t="s">
        <v>58</v>
      </c>
      <c r="BK1" s="17" t="s">
        <v>59</v>
      </c>
      <c r="BL1" s="18" t="s">
        <v>60</v>
      </c>
      <c r="BM1" s="18" t="s">
        <v>61</v>
      </c>
      <c r="BN1" s="18" t="s">
        <v>62</v>
      </c>
      <c r="BO1" s="18" t="s">
        <v>63</v>
      </c>
      <c r="BP1" s="18" t="s">
        <v>26</v>
      </c>
      <c r="BQ1" s="19" t="s">
        <v>64</v>
      </c>
      <c r="BR1" s="20" t="s">
        <v>65</v>
      </c>
      <c r="BS1" s="21" t="s">
        <v>66</v>
      </c>
      <c r="BT1" s="18" t="s">
        <v>67</v>
      </c>
      <c r="BU1" s="22" t="s">
        <v>68</v>
      </c>
    </row>
    <row r="2" ht="21.0" customHeight="1">
      <c r="A2" s="24" t="s">
        <v>69</v>
      </c>
      <c r="B2" s="25">
        <v>2647.0</v>
      </c>
      <c r="C2" s="26">
        <v>71.0</v>
      </c>
      <c r="D2" s="27">
        <v>59.0</v>
      </c>
      <c r="E2" s="28">
        <f t="shared" ref="E2:E13" si="1">SUM(B2:D2)</f>
        <v>2777</v>
      </c>
      <c r="F2" s="26">
        <v>423.0</v>
      </c>
      <c r="G2" s="26">
        <v>429.0</v>
      </c>
      <c r="H2" s="26">
        <v>335.0</v>
      </c>
      <c r="I2" s="26">
        <v>303.0</v>
      </c>
      <c r="J2" s="26">
        <v>321.0</v>
      </c>
      <c r="K2" s="26">
        <v>469.0</v>
      </c>
      <c r="L2" s="27">
        <v>497.0</v>
      </c>
      <c r="M2" s="24">
        <f t="shared" ref="M2:M14" si="2">F2+G2+H2+I2+J2+K2+L2</f>
        <v>2777</v>
      </c>
      <c r="N2" s="26">
        <v>1620.0</v>
      </c>
      <c r="O2" s="27">
        <v>1157.0</v>
      </c>
      <c r="P2" s="24">
        <f t="shared" ref="P2:P13" si="3">SUM(N2:O2)</f>
        <v>2777</v>
      </c>
      <c r="Q2" s="26">
        <v>1930.0</v>
      </c>
      <c r="R2" s="27">
        <v>847.0</v>
      </c>
      <c r="S2" s="24">
        <f t="shared" ref="S2:S14" si="4">SUM(Q2:R2)</f>
        <v>2777</v>
      </c>
      <c r="T2" s="26">
        <v>2153.0</v>
      </c>
      <c r="U2" s="26">
        <v>1167.0</v>
      </c>
      <c r="V2" s="26">
        <v>44.0</v>
      </c>
      <c r="W2" s="26">
        <v>1157.0</v>
      </c>
      <c r="X2" s="26">
        <v>221.0</v>
      </c>
      <c r="Y2" s="26">
        <v>50.0</v>
      </c>
      <c r="Z2" s="27">
        <v>12.0</v>
      </c>
      <c r="AA2" s="24">
        <f t="shared" ref="AA2:AA13" si="5">SUM(T2:Z2)</f>
        <v>4804</v>
      </c>
      <c r="AB2" s="26">
        <v>346.0</v>
      </c>
      <c r="AC2" s="26">
        <v>2168.0</v>
      </c>
      <c r="AD2" s="26">
        <v>1536.0</v>
      </c>
      <c r="AE2" s="26">
        <v>588.0</v>
      </c>
      <c r="AF2" s="26">
        <v>166.0</v>
      </c>
      <c r="AG2" s="24">
        <f t="shared" ref="AG2:AG13" si="6">SUM(AB2:AF2)</f>
        <v>4804</v>
      </c>
      <c r="AH2" s="26">
        <v>3734.0</v>
      </c>
      <c r="AI2" s="26">
        <v>1070.0</v>
      </c>
      <c r="AJ2" s="24">
        <f t="shared" ref="AJ2:AJ13" si="7">SUM(AH2:AI2)</f>
        <v>4804</v>
      </c>
      <c r="AK2" s="26">
        <v>3715.0</v>
      </c>
      <c r="AL2" s="26">
        <v>1089.0</v>
      </c>
      <c r="AM2" s="24">
        <f t="shared" ref="AM2:AM13" si="8">SUM(AK2:AL2)</f>
        <v>4804</v>
      </c>
      <c r="AN2" s="26">
        <v>4594.0</v>
      </c>
      <c r="AO2" s="27">
        <v>210.0</v>
      </c>
      <c r="AP2" s="24">
        <f t="shared" ref="AP2:AP14" si="9">SUM(AN2:AO2)</f>
        <v>4804</v>
      </c>
      <c r="AQ2" s="26">
        <v>3418.0</v>
      </c>
      <c r="AR2" s="26">
        <v>679.0</v>
      </c>
      <c r="AS2" s="26">
        <v>0.0</v>
      </c>
      <c r="AT2" s="26">
        <v>0.0</v>
      </c>
      <c r="AU2" s="27">
        <v>707.0</v>
      </c>
      <c r="AV2" s="24">
        <f>+AQ2+AR2+AS2+AT2+AU2</f>
        <v>4804</v>
      </c>
      <c r="AW2" s="29">
        <f t="shared" ref="AW2:AW13" si="10">AU2</f>
        <v>707</v>
      </c>
      <c r="AX2" s="26">
        <v>3464.0</v>
      </c>
      <c r="AY2" s="27">
        <v>633.0</v>
      </c>
      <c r="AZ2" s="24">
        <f t="shared" ref="AZ2:AZ13" si="11">SUM(AW2:AY2)</f>
        <v>4804</v>
      </c>
      <c r="BA2" s="30">
        <v>1644.0</v>
      </c>
      <c r="BB2" s="30">
        <v>402.0</v>
      </c>
      <c r="BC2" s="30">
        <v>105.0</v>
      </c>
      <c r="BD2" s="30">
        <v>70.0</v>
      </c>
      <c r="BE2" s="30">
        <v>4.0</v>
      </c>
      <c r="BF2" s="30">
        <v>430.0</v>
      </c>
      <c r="BG2" s="30">
        <v>122.0</v>
      </c>
      <c r="BH2" s="31">
        <v>0.0</v>
      </c>
      <c r="BI2" s="24">
        <f t="shared" ref="BI2:BI13" si="12">SUM(BA2:BH2)</f>
        <v>2777</v>
      </c>
      <c r="BJ2" s="30">
        <v>216.0</v>
      </c>
      <c r="BK2" s="30">
        <v>277.0</v>
      </c>
      <c r="BL2" s="30">
        <v>299.0</v>
      </c>
      <c r="BM2" s="30">
        <v>62.0</v>
      </c>
      <c r="BN2" s="30">
        <v>1365.0</v>
      </c>
      <c r="BO2" s="30">
        <v>0.0</v>
      </c>
      <c r="BP2" s="31">
        <v>558.0</v>
      </c>
      <c r="BQ2" s="24">
        <f t="shared" ref="BQ2:BQ13" si="13">SUM(BJ2:BP2)</f>
        <v>2777</v>
      </c>
      <c r="BR2" s="32">
        <v>236.0</v>
      </c>
      <c r="BS2" s="30">
        <v>72.0</v>
      </c>
      <c r="BT2" s="31">
        <v>4760.0</v>
      </c>
      <c r="BU2" s="24">
        <f t="shared" ref="BU2:BU13" si="14">SUM(BR2:BT2)</f>
        <v>5068</v>
      </c>
    </row>
    <row r="3" ht="21.0" customHeight="1">
      <c r="A3" s="24" t="s">
        <v>70</v>
      </c>
      <c r="B3" s="33">
        <v>2902.0</v>
      </c>
      <c r="C3" s="30">
        <v>65.0</v>
      </c>
      <c r="D3" s="31">
        <v>46.0</v>
      </c>
      <c r="E3" s="28">
        <f t="shared" si="1"/>
        <v>3013</v>
      </c>
      <c r="F3" s="30">
        <v>527.0</v>
      </c>
      <c r="G3" s="30">
        <v>425.0</v>
      </c>
      <c r="H3" s="30">
        <v>406.0</v>
      </c>
      <c r="I3" s="30">
        <v>453.0</v>
      </c>
      <c r="J3" s="30">
        <v>366.0</v>
      </c>
      <c r="K3" s="30">
        <v>425.0</v>
      </c>
      <c r="L3" s="31">
        <v>411.0</v>
      </c>
      <c r="M3" s="24">
        <f t="shared" si="2"/>
        <v>3013</v>
      </c>
      <c r="N3" s="30">
        <v>1830.0</v>
      </c>
      <c r="O3" s="31">
        <v>1183.0</v>
      </c>
      <c r="P3" s="24">
        <f t="shared" si="3"/>
        <v>3013</v>
      </c>
      <c r="Q3" s="30">
        <v>1726.0</v>
      </c>
      <c r="R3" s="31">
        <v>1287.0</v>
      </c>
      <c r="S3" s="24">
        <f t="shared" si="4"/>
        <v>3013</v>
      </c>
      <c r="T3" s="30">
        <v>2421.0</v>
      </c>
      <c r="U3" s="30">
        <v>1341.0</v>
      </c>
      <c r="V3" s="30">
        <v>22.0</v>
      </c>
      <c r="W3" s="30">
        <v>1066.0</v>
      </c>
      <c r="X3" s="30">
        <v>457.0</v>
      </c>
      <c r="Y3" s="30">
        <v>27.0</v>
      </c>
      <c r="Z3" s="31">
        <v>9.0</v>
      </c>
      <c r="AA3" s="24">
        <f t="shared" si="5"/>
        <v>5343</v>
      </c>
      <c r="AB3" s="30">
        <v>366.0</v>
      </c>
      <c r="AC3" s="30">
        <v>1983.0</v>
      </c>
      <c r="AD3" s="30">
        <v>1741.0</v>
      </c>
      <c r="AE3" s="30">
        <v>914.0</v>
      </c>
      <c r="AF3" s="30">
        <v>339.0</v>
      </c>
      <c r="AG3" s="24">
        <f t="shared" si="6"/>
        <v>5343</v>
      </c>
      <c r="AH3" s="30">
        <v>3990.0</v>
      </c>
      <c r="AI3" s="30">
        <v>1353.0</v>
      </c>
      <c r="AJ3" s="24">
        <f t="shared" si="7"/>
        <v>5343</v>
      </c>
      <c r="AK3" s="30">
        <v>3557.0</v>
      </c>
      <c r="AL3" s="30">
        <v>1786.0</v>
      </c>
      <c r="AM3" s="24">
        <f t="shared" si="8"/>
        <v>5343</v>
      </c>
      <c r="AN3" s="30">
        <v>5209.0</v>
      </c>
      <c r="AO3" s="31">
        <v>134.0</v>
      </c>
      <c r="AP3" s="24">
        <f t="shared" si="9"/>
        <v>5343</v>
      </c>
      <c r="AQ3" s="30">
        <v>3847.0</v>
      </c>
      <c r="AR3" s="30">
        <v>1196.0</v>
      </c>
      <c r="AS3" s="30">
        <v>0.0</v>
      </c>
      <c r="AT3" s="30">
        <v>0.0</v>
      </c>
      <c r="AU3" s="31">
        <v>300.0</v>
      </c>
      <c r="AV3" s="24">
        <f t="shared" ref="AV3:AV13" si="15">SUM(AQ3:AU3)</f>
        <v>5343</v>
      </c>
      <c r="AW3" s="29">
        <f t="shared" si="10"/>
        <v>300</v>
      </c>
      <c r="AX3" s="30">
        <v>4855.0</v>
      </c>
      <c r="AY3" s="31">
        <v>188.0</v>
      </c>
      <c r="AZ3" s="24">
        <f t="shared" si="11"/>
        <v>5343</v>
      </c>
      <c r="BA3" s="30">
        <v>2033.0</v>
      </c>
      <c r="BB3" s="30">
        <v>488.0</v>
      </c>
      <c r="BC3" s="30">
        <v>39.0</v>
      </c>
      <c r="BD3" s="30">
        <v>21.0</v>
      </c>
      <c r="BE3" s="30">
        <v>0.0</v>
      </c>
      <c r="BF3" s="30">
        <v>218.0</v>
      </c>
      <c r="BG3" s="30">
        <v>180.0</v>
      </c>
      <c r="BH3" s="31">
        <v>34.0</v>
      </c>
      <c r="BI3" s="24">
        <f t="shared" si="12"/>
        <v>3013</v>
      </c>
      <c r="BJ3" s="30">
        <v>110.0</v>
      </c>
      <c r="BK3" s="30">
        <v>231.0</v>
      </c>
      <c r="BL3" s="30">
        <v>300.0</v>
      </c>
      <c r="BM3" s="30">
        <v>103.0</v>
      </c>
      <c r="BN3" s="30">
        <v>1162.0</v>
      </c>
      <c r="BO3" s="30">
        <v>0.0</v>
      </c>
      <c r="BP3" s="31">
        <v>1107.0</v>
      </c>
      <c r="BQ3" s="24">
        <f t="shared" si="13"/>
        <v>3013</v>
      </c>
      <c r="BR3" s="32">
        <v>191.0</v>
      </c>
      <c r="BS3" s="30">
        <v>61.0</v>
      </c>
      <c r="BT3" s="31">
        <v>5379.0</v>
      </c>
      <c r="BU3" s="24">
        <f t="shared" si="14"/>
        <v>5631</v>
      </c>
    </row>
    <row r="4" ht="21.0" customHeight="1">
      <c r="A4" s="24" t="s">
        <v>71</v>
      </c>
      <c r="B4" s="33">
        <v>2532.0</v>
      </c>
      <c r="C4" s="30">
        <v>56.0</v>
      </c>
      <c r="D4" s="31">
        <v>67.0</v>
      </c>
      <c r="E4" s="28">
        <f t="shared" si="1"/>
        <v>2655</v>
      </c>
      <c r="F4" s="30">
        <v>404.0</v>
      </c>
      <c r="G4" s="30">
        <v>419.0</v>
      </c>
      <c r="H4" s="30">
        <v>412.0</v>
      </c>
      <c r="I4" s="30">
        <v>315.0</v>
      </c>
      <c r="J4" s="30">
        <v>334.0</v>
      </c>
      <c r="K4" s="30">
        <v>386.0</v>
      </c>
      <c r="L4" s="31">
        <v>385.0</v>
      </c>
      <c r="M4" s="24">
        <f t="shared" si="2"/>
        <v>2655</v>
      </c>
      <c r="N4" s="30">
        <v>2005.0</v>
      </c>
      <c r="O4" s="31">
        <v>650.0</v>
      </c>
      <c r="P4" s="24">
        <f t="shared" si="3"/>
        <v>2655</v>
      </c>
      <c r="Q4" s="30">
        <v>1920.0</v>
      </c>
      <c r="R4" s="31">
        <v>735.0</v>
      </c>
      <c r="S4" s="24">
        <f t="shared" si="4"/>
        <v>2655</v>
      </c>
      <c r="T4" s="30">
        <v>2061.0</v>
      </c>
      <c r="U4" s="30">
        <v>962.0</v>
      </c>
      <c r="V4" s="30">
        <v>103.0</v>
      </c>
      <c r="W4" s="30">
        <v>1091.0</v>
      </c>
      <c r="X4" s="30">
        <v>289.0</v>
      </c>
      <c r="Y4" s="30">
        <v>59.0</v>
      </c>
      <c r="Z4" s="31">
        <v>0.0</v>
      </c>
      <c r="AA4" s="24">
        <f t="shared" si="5"/>
        <v>4565</v>
      </c>
      <c r="AB4" s="30">
        <v>658.0</v>
      </c>
      <c r="AC4" s="30">
        <v>2296.0</v>
      </c>
      <c r="AD4" s="30">
        <v>874.0</v>
      </c>
      <c r="AE4" s="30">
        <v>494.0</v>
      </c>
      <c r="AF4" s="30">
        <v>243.0</v>
      </c>
      <c r="AG4" s="24">
        <f t="shared" si="6"/>
        <v>4565</v>
      </c>
      <c r="AH4" s="30">
        <v>3594.0</v>
      </c>
      <c r="AI4" s="30">
        <v>971.0</v>
      </c>
      <c r="AJ4" s="24">
        <f t="shared" si="7"/>
        <v>4565</v>
      </c>
      <c r="AK4" s="30">
        <v>3574.0</v>
      </c>
      <c r="AL4" s="30">
        <v>991.0</v>
      </c>
      <c r="AM4" s="24">
        <f t="shared" si="8"/>
        <v>4565</v>
      </c>
      <c r="AN4" s="30">
        <v>4409.0</v>
      </c>
      <c r="AO4" s="31">
        <v>156.0</v>
      </c>
      <c r="AP4" s="24">
        <f t="shared" si="9"/>
        <v>4565</v>
      </c>
      <c r="AQ4" s="30">
        <v>2952.0</v>
      </c>
      <c r="AR4" s="30">
        <v>843.0</v>
      </c>
      <c r="AS4" s="30">
        <v>0.0</v>
      </c>
      <c r="AT4" s="30">
        <v>0.0</v>
      </c>
      <c r="AU4" s="31">
        <v>770.0</v>
      </c>
      <c r="AV4" s="24">
        <f t="shared" si="15"/>
        <v>4565</v>
      </c>
      <c r="AW4" s="29">
        <f t="shared" si="10"/>
        <v>770</v>
      </c>
      <c r="AX4" s="30">
        <v>3373.0</v>
      </c>
      <c r="AY4" s="31">
        <v>422.0</v>
      </c>
      <c r="AZ4" s="24">
        <f t="shared" si="11"/>
        <v>4565</v>
      </c>
      <c r="BA4" s="30">
        <v>2029.0</v>
      </c>
      <c r="BB4" s="30">
        <v>301.0</v>
      </c>
      <c r="BC4" s="30">
        <v>106.0</v>
      </c>
      <c r="BD4" s="30">
        <v>27.0</v>
      </c>
      <c r="BE4" s="30">
        <v>9.0</v>
      </c>
      <c r="BF4" s="30">
        <v>153.0</v>
      </c>
      <c r="BG4" s="30">
        <v>30.0</v>
      </c>
      <c r="BH4" s="31">
        <v>0.0</v>
      </c>
      <c r="BI4" s="24">
        <f t="shared" si="12"/>
        <v>2655</v>
      </c>
      <c r="BJ4" s="30">
        <v>162.0</v>
      </c>
      <c r="BK4" s="30">
        <v>111.0</v>
      </c>
      <c r="BL4" s="30">
        <v>210.0</v>
      </c>
      <c r="BM4" s="30">
        <v>30.0</v>
      </c>
      <c r="BN4" s="30">
        <v>1564.0</v>
      </c>
      <c r="BO4" s="30">
        <v>0.0</v>
      </c>
      <c r="BP4" s="31">
        <v>578.0</v>
      </c>
      <c r="BQ4" s="24">
        <f t="shared" si="13"/>
        <v>2655</v>
      </c>
      <c r="BR4" s="32">
        <v>220.0</v>
      </c>
      <c r="BS4" s="30">
        <v>88.0</v>
      </c>
      <c r="BT4" s="31">
        <v>4696.0</v>
      </c>
      <c r="BU4" s="24">
        <f t="shared" si="14"/>
        <v>5004</v>
      </c>
    </row>
    <row r="5" ht="21.0" customHeight="1">
      <c r="A5" s="24" t="s">
        <v>72</v>
      </c>
      <c r="B5" s="33">
        <v>2182.0</v>
      </c>
      <c r="C5" s="30">
        <v>62.0</v>
      </c>
      <c r="D5" s="31">
        <v>54.0</v>
      </c>
      <c r="E5" s="28">
        <f t="shared" si="1"/>
        <v>2298</v>
      </c>
      <c r="F5" s="30">
        <v>404.0</v>
      </c>
      <c r="G5" s="30">
        <v>290.0</v>
      </c>
      <c r="H5" s="30">
        <v>347.0</v>
      </c>
      <c r="I5" s="30">
        <v>309.0</v>
      </c>
      <c r="J5" s="30">
        <v>314.0</v>
      </c>
      <c r="K5" s="30">
        <v>318.0</v>
      </c>
      <c r="L5" s="31">
        <v>316.0</v>
      </c>
      <c r="M5" s="24">
        <f t="shared" si="2"/>
        <v>2298</v>
      </c>
      <c r="N5" s="30">
        <v>1573.0</v>
      </c>
      <c r="O5" s="31">
        <v>725.0</v>
      </c>
      <c r="P5" s="24">
        <f t="shared" si="3"/>
        <v>2298</v>
      </c>
      <c r="Q5" s="30">
        <v>1440.0</v>
      </c>
      <c r="R5" s="31">
        <v>858.0</v>
      </c>
      <c r="S5" s="24">
        <f t="shared" si="4"/>
        <v>2298</v>
      </c>
      <c r="T5" s="30">
        <v>1536.0</v>
      </c>
      <c r="U5" s="30">
        <v>882.0</v>
      </c>
      <c r="V5" s="30">
        <v>34.0</v>
      </c>
      <c r="W5" s="30">
        <v>1004.0</v>
      </c>
      <c r="X5" s="30">
        <v>426.0</v>
      </c>
      <c r="Y5" s="30">
        <v>83.0</v>
      </c>
      <c r="Z5" s="31">
        <v>3.0</v>
      </c>
      <c r="AA5" s="24">
        <f t="shared" si="5"/>
        <v>3968</v>
      </c>
      <c r="AB5" s="30">
        <v>224.0</v>
      </c>
      <c r="AC5" s="30">
        <v>1843.0</v>
      </c>
      <c r="AD5" s="30">
        <v>1171.0</v>
      </c>
      <c r="AE5" s="30">
        <v>535.0</v>
      </c>
      <c r="AF5" s="30">
        <v>195.0</v>
      </c>
      <c r="AG5" s="24">
        <f t="shared" si="6"/>
        <v>3968</v>
      </c>
      <c r="AH5" s="30">
        <v>3389.0</v>
      </c>
      <c r="AI5" s="30">
        <v>579.0</v>
      </c>
      <c r="AJ5" s="24">
        <f t="shared" si="7"/>
        <v>3968</v>
      </c>
      <c r="AK5" s="30">
        <v>3422.0</v>
      </c>
      <c r="AL5" s="30">
        <v>546.0</v>
      </c>
      <c r="AM5" s="24">
        <f t="shared" si="8"/>
        <v>3968</v>
      </c>
      <c r="AN5" s="30">
        <v>3887.0</v>
      </c>
      <c r="AO5" s="31">
        <v>81.0</v>
      </c>
      <c r="AP5" s="24">
        <f t="shared" si="9"/>
        <v>3968</v>
      </c>
      <c r="AQ5" s="30">
        <v>2952.0</v>
      </c>
      <c r="AR5" s="30">
        <v>686.0</v>
      </c>
      <c r="AS5" s="30">
        <v>0.0</v>
      </c>
      <c r="AT5" s="30">
        <v>0.0</v>
      </c>
      <c r="AU5" s="31">
        <v>330.0</v>
      </c>
      <c r="AV5" s="24">
        <f t="shared" si="15"/>
        <v>3968</v>
      </c>
      <c r="AW5" s="29">
        <f t="shared" si="10"/>
        <v>330</v>
      </c>
      <c r="AX5" s="30">
        <v>3436.0</v>
      </c>
      <c r="AY5" s="31">
        <v>202.0</v>
      </c>
      <c r="AZ5" s="24">
        <f t="shared" si="11"/>
        <v>3968</v>
      </c>
      <c r="BA5" s="30">
        <v>1272.0</v>
      </c>
      <c r="BB5" s="30">
        <v>419.0</v>
      </c>
      <c r="BC5" s="30">
        <v>177.0</v>
      </c>
      <c r="BD5" s="30">
        <v>1.0</v>
      </c>
      <c r="BE5" s="30">
        <v>4.0</v>
      </c>
      <c r="BF5" s="30">
        <v>364.0</v>
      </c>
      <c r="BG5" s="30">
        <v>61.0</v>
      </c>
      <c r="BH5" s="31">
        <v>0.0</v>
      </c>
      <c r="BI5" s="24">
        <f t="shared" si="12"/>
        <v>2298</v>
      </c>
      <c r="BJ5" s="30">
        <v>194.0</v>
      </c>
      <c r="BK5" s="30">
        <v>157.0</v>
      </c>
      <c r="BL5" s="30">
        <v>287.0</v>
      </c>
      <c r="BM5" s="30">
        <v>5.0</v>
      </c>
      <c r="BN5" s="30">
        <v>1121.0</v>
      </c>
      <c r="BO5" s="30">
        <v>0.0</v>
      </c>
      <c r="BP5" s="31">
        <v>534.0</v>
      </c>
      <c r="BQ5" s="24">
        <f t="shared" si="13"/>
        <v>2298</v>
      </c>
      <c r="BR5" s="32">
        <v>224.0</v>
      </c>
      <c r="BS5" s="30">
        <v>67.0</v>
      </c>
      <c r="BT5" s="31">
        <v>3873.0</v>
      </c>
      <c r="BU5" s="24">
        <f t="shared" si="14"/>
        <v>4164</v>
      </c>
    </row>
    <row r="6" ht="21.0" customHeight="1">
      <c r="A6" s="34" t="s">
        <v>73</v>
      </c>
      <c r="B6" s="33">
        <v>2497.0</v>
      </c>
      <c r="C6" s="30">
        <v>53.0</v>
      </c>
      <c r="D6" s="31">
        <v>43.0</v>
      </c>
      <c r="E6" s="28">
        <f t="shared" si="1"/>
        <v>2593</v>
      </c>
      <c r="F6" s="30">
        <v>452.0</v>
      </c>
      <c r="G6" s="30">
        <v>358.0</v>
      </c>
      <c r="H6" s="30">
        <v>338.0</v>
      </c>
      <c r="I6" s="30">
        <v>367.0</v>
      </c>
      <c r="J6" s="30">
        <v>339.0</v>
      </c>
      <c r="K6" s="30">
        <v>428.0</v>
      </c>
      <c r="L6" s="31">
        <v>311.0</v>
      </c>
      <c r="M6" s="24">
        <f t="shared" si="2"/>
        <v>2593</v>
      </c>
      <c r="N6" s="30">
        <v>1556.0</v>
      </c>
      <c r="O6" s="31">
        <v>1037.0</v>
      </c>
      <c r="P6" s="24">
        <f t="shared" si="3"/>
        <v>2593</v>
      </c>
      <c r="Q6" s="30">
        <v>1922.0</v>
      </c>
      <c r="R6" s="31">
        <v>671.0</v>
      </c>
      <c r="S6" s="24">
        <f t="shared" si="4"/>
        <v>2593</v>
      </c>
      <c r="T6" s="30">
        <v>2004.0</v>
      </c>
      <c r="U6" s="30">
        <v>962.0</v>
      </c>
      <c r="V6" s="30">
        <v>35.0</v>
      </c>
      <c r="W6" s="30">
        <v>1096.0</v>
      </c>
      <c r="X6" s="30">
        <v>269.0</v>
      </c>
      <c r="Y6" s="30">
        <v>35.0</v>
      </c>
      <c r="Z6" s="31">
        <v>4.0</v>
      </c>
      <c r="AA6" s="24">
        <f t="shared" si="5"/>
        <v>4405</v>
      </c>
      <c r="AB6" s="30">
        <v>294.0</v>
      </c>
      <c r="AC6" s="30">
        <v>1720.0</v>
      </c>
      <c r="AD6" s="30">
        <v>1329.0</v>
      </c>
      <c r="AE6" s="30">
        <v>813.0</v>
      </c>
      <c r="AF6" s="30">
        <v>249.0</v>
      </c>
      <c r="AG6" s="24">
        <f t="shared" si="6"/>
        <v>4405</v>
      </c>
      <c r="AH6" s="30">
        <v>3489.0</v>
      </c>
      <c r="AI6" s="30">
        <v>916.0</v>
      </c>
      <c r="AJ6" s="24">
        <f t="shared" si="7"/>
        <v>4405</v>
      </c>
      <c r="AK6" s="30">
        <v>3234.0</v>
      </c>
      <c r="AL6" s="30">
        <v>1171.0</v>
      </c>
      <c r="AM6" s="24">
        <f t="shared" si="8"/>
        <v>4405</v>
      </c>
      <c r="AN6" s="30">
        <v>4232.0</v>
      </c>
      <c r="AO6" s="31">
        <v>173.0</v>
      </c>
      <c r="AP6" s="24">
        <f t="shared" si="9"/>
        <v>4405</v>
      </c>
      <c r="AQ6" s="30">
        <v>3276.0</v>
      </c>
      <c r="AR6" s="30">
        <v>782.0</v>
      </c>
      <c r="AS6" s="30">
        <v>0.0</v>
      </c>
      <c r="AT6" s="30">
        <v>0.0</v>
      </c>
      <c r="AU6" s="31">
        <v>347.0</v>
      </c>
      <c r="AV6" s="24">
        <f t="shared" si="15"/>
        <v>4405</v>
      </c>
      <c r="AW6" s="29">
        <f t="shared" si="10"/>
        <v>347</v>
      </c>
      <c r="AX6" s="30">
        <v>3597.0</v>
      </c>
      <c r="AY6" s="31">
        <v>461.0</v>
      </c>
      <c r="AZ6" s="24">
        <f t="shared" si="11"/>
        <v>4405</v>
      </c>
      <c r="BA6" s="30">
        <v>2143.0</v>
      </c>
      <c r="BB6" s="30">
        <v>182.0</v>
      </c>
      <c r="BC6" s="30">
        <v>35.0</v>
      </c>
      <c r="BD6" s="30">
        <v>37.0</v>
      </c>
      <c r="BE6" s="30">
        <v>7.0</v>
      </c>
      <c r="BF6" s="30">
        <v>118.0</v>
      </c>
      <c r="BG6" s="30">
        <v>70.0</v>
      </c>
      <c r="BH6" s="31">
        <v>1.0</v>
      </c>
      <c r="BI6" s="24">
        <f t="shared" si="12"/>
        <v>2593</v>
      </c>
      <c r="BJ6" s="30">
        <v>126.0</v>
      </c>
      <c r="BK6" s="30">
        <v>89.0</v>
      </c>
      <c r="BL6" s="30">
        <v>278.0</v>
      </c>
      <c r="BM6" s="30">
        <v>93.0</v>
      </c>
      <c r="BN6" s="30">
        <v>1294.0</v>
      </c>
      <c r="BO6" s="30">
        <v>0.0</v>
      </c>
      <c r="BP6" s="31">
        <v>713.0</v>
      </c>
      <c r="BQ6" s="24">
        <f t="shared" si="13"/>
        <v>2593</v>
      </c>
      <c r="BR6" s="32">
        <v>185.0</v>
      </c>
      <c r="BS6" s="30">
        <v>52.0</v>
      </c>
      <c r="BT6" s="31">
        <v>4451.0</v>
      </c>
      <c r="BU6" s="24">
        <f t="shared" si="14"/>
        <v>4688</v>
      </c>
    </row>
    <row r="7" ht="21.0" customHeight="1">
      <c r="A7" s="34" t="s">
        <v>74</v>
      </c>
      <c r="B7" s="33">
        <v>2757.0</v>
      </c>
      <c r="C7" s="30">
        <v>52.0</v>
      </c>
      <c r="D7" s="31">
        <v>66.0</v>
      </c>
      <c r="E7" s="28">
        <f t="shared" si="1"/>
        <v>2875</v>
      </c>
      <c r="F7" s="30">
        <v>489.0</v>
      </c>
      <c r="G7" s="30">
        <v>515.0</v>
      </c>
      <c r="H7" s="30">
        <v>366.0</v>
      </c>
      <c r="I7" s="30">
        <v>359.0</v>
      </c>
      <c r="J7" s="30">
        <v>360.0</v>
      </c>
      <c r="K7" s="30">
        <v>400.0</v>
      </c>
      <c r="L7" s="31">
        <v>386.0</v>
      </c>
      <c r="M7" s="24">
        <f t="shared" si="2"/>
        <v>2875</v>
      </c>
      <c r="N7" s="30">
        <v>1920.0</v>
      </c>
      <c r="O7" s="31">
        <v>955.0</v>
      </c>
      <c r="P7" s="24">
        <f t="shared" si="3"/>
        <v>2875</v>
      </c>
      <c r="Q7" s="30">
        <v>2185.0</v>
      </c>
      <c r="R7" s="31">
        <v>690.0</v>
      </c>
      <c r="S7" s="24">
        <f t="shared" si="4"/>
        <v>2875</v>
      </c>
      <c r="T7" s="30">
        <v>2152.0</v>
      </c>
      <c r="U7" s="30">
        <v>1039.0</v>
      </c>
      <c r="V7" s="30">
        <v>45.0</v>
      </c>
      <c r="W7" s="30">
        <v>1332.0</v>
      </c>
      <c r="X7" s="30">
        <v>307.0</v>
      </c>
      <c r="Y7" s="30">
        <v>73.0</v>
      </c>
      <c r="Z7" s="31">
        <v>0.0</v>
      </c>
      <c r="AA7" s="24">
        <f t="shared" si="5"/>
        <v>4948</v>
      </c>
      <c r="AB7" s="30">
        <v>453.0</v>
      </c>
      <c r="AC7" s="30">
        <v>1880.0</v>
      </c>
      <c r="AD7" s="30">
        <v>1634.0</v>
      </c>
      <c r="AE7" s="30">
        <v>749.0</v>
      </c>
      <c r="AF7" s="30">
        <v>232.0</v>
      </c>
      <c r="AG7" s="24">
        <f t="shared" si="6"/>
        <v>4948</v>
      </c>
      <c r="AH7" s="30">
        <v>3814.0</v>
      </c>
      <c r="AI7" s="30">
        <v>1134.0</v>
      </c>
      <c r="AJ7" s="24">
        <f t="shared" si="7"/>
        <v>4948</v>
      </c>
      <c r="AK7" s="30">
        <v>3465.0</v>
      </c>
      <c r="AL7" s="30">
        <v>1483.0</v>
      </c>
      <c r="AM7" s="24">
        <f t="shared" si="8"/>
        <v>4948</v>
      </c>
      <c r="AN7" s="30">
        <v>4800.0</v>
      </c>
      <c r="AO7" s="31">
        <v>148.0</v>
      </c>
      <c r="AP7" s="24">
        <f t="shared" si="9"/>
        <v>4948</v>
      </c>
      <c r="AQ7" s="30">
        <v>3676.0</v>
      </c>
      <c r="AR7" s="30">
        <v>871.0</v>
      </c>
      <c r="AS7" s="30">
        <v>0.0</v>
      </c>
      <c r="AT7" s="30">
        <v>0.0</v>
      </c>
      <c r="AU7" s="31">
        <v>401.0</v>
      </c>
      <c r="AV7" s="24">
        <f t="shared" si="15"/>
        <v>4948</v>
      </c>
      <c r="AW7" s="29">
        <f t="shared" si="10"/>
        <v>401</v>
      </c>
      <c r="AX7" s="30">
        <v>4327.0</v>
      </c>
      <c r="AY7" s="31">
        <v>220.0</v>
      </c>
      <c r="AZ7" s="24">
        <f t="shared" si="11"/>
        <v>4948</v>
      </c>
      <c r="BA7" s="30">
        <v>2363.0</v>
      </c>
      <c r="BB7" s="30">
        <v>194.0</v>
      </c>
      <c r="BC7" s="30">
        <v>28.0</v>
      </c>
      <c r="BD7" s="30">
        <v>34.0</v>
      </c>
      <c r="BE7" s="30">
        <v>5.0</v>
      </c>
      <c r="BF7" s="30">
        <v>165.0</v>
      </c>
      <c r="BG7" s="30">
        <v>75.0</v>
      </c>
      <c r="BH7" s="31">
        <v>11.0</v>
      </c>
      <c r="BI7" s="24">
        <f t="shared" si="12"/>
        <v>2875</v>
      </c>
      <c r="BJ7" s="30">
        <v>114.0</v>
      </c>
      <c r="BK7" s="30">
        <v>141.0</v>
      </c>
      <c r="BL7" s="30">
        <v>245.0</v>
      </c>
      <c r="BM7" s="30">
        <v>23.0</v>
      </c>
      <c r="BN7" s="30">
        <v>1617.0</v>
      </c>
      <c r="BO7" s="30">
        <v>0.0</v>
      </c>
      <c r="BP7" s="31">
        <v>735.0</v>
      </c>
      <c r="BQ7" s="24">
        <f t="shared" si="13"/>
        <v>2875</v>
      </c>
      <c r="BR7" s="32">
        <v>180.0</v>
      </c>
      <c r="BS7" s="30">
        <v>106.0</v>
      </c>
      <c r="BT7" s="31">
        <v>4950.0</v>
      </c>
      <c r="BU7" s="24">
        <f t="shared" si="14"/>
        <v>5236</v>
      </c>
    </row>
    <row r="8" ht="21.0" customHeight="1">
      <c r="A8" s="24" t="s">
        <v>75</v>
      </c>
      <c r="B8" s="33">
        <v>2700.0</v>
      </c>
      <c r="C8" s="30">
        <v>64.0</v>
      </c>
      <c r="D8" s="31">
        <v>74.0</v>
      </c>
      <c r="E8" s="28">
        <f t="shared" si="1"/>
        <v>2838</v>
      </c>
      <c r="F8" s="30">
        <v>487.0</v>
      </c>
      <c r="G8" s="30">
        <v>363.0</v>
      </c>
      <c r="H8" s="30">
        <v>374.0</v>
      </c>
      <c r="I8" s="30">
        <v>348.0</v>
      </c>
      <c r="J8" s="30">
        <v>369.0</v>
      </c>
      <c r="K8" s="30">
        <v>483.0</v>
      </c>
      <c r="L8" s="31">
        <v>414.0</v>
      </c>
      <c r="M8" s="24">
        <f t="shared" si="2"/>
        <v>2838</v>
      </c>
      <c r="N8" s="30">
        <v>1606.0</v>
      </c>
      <c r="O8" s="31">
        <v>1232.0</v>
      </c>
      <c r="P8" s="24">
        <f t="shared" si="3"/>
        <v>2838</v>
      </c>
      <c r="Q8" s="30">
        <v>2148.0</v>
      </c>
      <c r="R8" s="31">
        <v>690.0</v>
      </c>
      <c r="S8" s="24">
        <f t="shared" si="4"/>
        <v>2838</v>
      </c>
      <c r="T8" s="30">
        <v>2374.0</v>
      </c>
      <c r="U8" s="30">
        <v>474.0</v>
      </c>
      <c r="V8" s="30">
        <v>176.0</v>
      </c>
      <c r="W8" s="30">
        <v>1203.0</v>
      </c>
      <c r="X8" s="30">
        <v>258.0</v>
      </c>
      <c r="Y8" s="30">
        <v>85.0</v>
      </c>
      <c r="Z8" s="31">
        <v>0.0</v>
      </c>
      <c r="AA8" s="24">
        <f t="shared" si="5"/>
        <v>4570</v>
      </c>
      <c r="AB8" s="30">
        <v>240.0</v>
      </c>
      <c r="AC8" s="30">
        <v>1707.0</v>
      </c>
      <c r="AD8" s="30">
        <v>1888.0</v>
      </c>
      <c r="AE8" s="30">
        <v>486.0</v>
      </c>
      <c r="AF8" s="30">
        <v>249.0</v>
      </c>
      <c r="AG8" s="24">
        <f t="shared" si="6"/>
        <v>4570</v>
      </c>
      <c r="AH8" s="30">
        <v>3233.0</v>
      </c>
      <c r="AI8" s="30">
        <v>1337.0</v>
      </c>
      <c r="AJ8" s="24">
        <f t="shared" si="7"/>
        <v>4570</v>
      </c>
      <c r="AK8" s="30">
        <v>2613.0</v>
      </c>
      <c r="AL8" s="30">
        <v>1957.0</v>
      </c>
      <c r="AM8" s="24">
        <f t="shared" si="8"/>
        <v>4570</v>
      </c>
      <c r="AN8" s="30">
        <v>4354.0</v>
      </c>
      <c r="AO8" s="31">
        <v>216.0</v>
      </c>
      <c r="AP8" s="24">
        <f t="shared" si="9"/>
        <v>4570</v>
      </c>
      <c r="AQ8" s="30">
        <v>3783.0</v>
      </c>
      <c r="AR8" s="30">
        <v>475.0</v>
      </c>
      <c r="AS8" s="30">
        <v>0.0</v>
      </c>
      <c r="AT8" s="30">
        <v>0.0</v>
      </c>
      <c r="AU8" s="31">
        <v>312.0</v>
      </c>
      <c r="AV8" s="24">
        <f t="shared" si="15"/>
        <v>4570</v>
      </c>
      <c r="AW8" s="29">
        <f t="shared" si="10"/>
        <v>312</v>
      </c>
      <c r="AX8" s="30">
        <v>4171.0</v>
      </c>
      <c r="AY8" s="31">
        <v>87.0</v>
      </c>
      <c r="AZ8" s="24">
        <f t="shared" si="11"/>
        <v>4570</v>
      </c>
      <c r="BA8" s="30">
        <v>2213.0</v>
      </c>
      <c r="BB8" s="30">
        <v>293.0</v>
      </c>
      <c r="BC8" s="30">
        <v>27.0</v>
      </c>
      <c r="BD8" s="30">
        <v>7.0</v>
      </c>
      <c r="BE8" s="30">
        <v>0.0</v>
      </c>
      <c r="BF8" s="30">
        <v>238.0</v>
      </c>
      <c r="BG8" s="30">
        <v>55.0</v>
      </c>
      <c r="BH8" s="31">
        <v>5.0</v>
      </c>
      <c r="BI8" s="24">
        <f t="shared" si="12"/>
        <v>2838</v>
      </c>
      <c r="BJ8" s="30">
        <v>86.0</v>
      </c>
      <c r="BK8" s="30">
        <v>106.0</v>
      </c>
      <c r="BL8" s="30">
        <v>205.0</v>
      </c>
      <c r="BM8" s="30">
        <v>5.0</v>
      </c>
      <c r="BN8" s="30">
        <v>1011.0</v>
      </c>
      <c r="BO8" s="30">
        <v>0.0</v>
      </c>
      <c r="BP8" s="31">
        <v>1425.0</v>
      </c>
      <c r="BQ8" s="24">
        <f t="shared" si="13"/>
        <v>2838</v>
      </c>
      <c r="BR8" s="32">
        <v>191.0</v>
      </c>
      <c r="BS8" s="30">
        <v>92.0</v>
      </c>
      <c r="BT8" s="31">
        <v>4619.0</v>
      </c>
      <c r="BU8" s="24">
        <f t="shared" si="14"/>
        <v>4902</v>
      </c>
    </row>
    <row r="9" ht="21.0" customHeight="1">
      <c r="A9" s="24" t="s">
        <v>76</v>
      </c>
      <c r="B9" s="33">
        <v>2622.0</v>
      </c>
      <c r="C9" s="30">
        <v>70.0</v>
      </c>
      <c r="D9" s="31">
        <v>63.0</v>
      </c>
      <c r="E9" s="28">
        <f t="shared" si="1"/>
        <v>2755</v>
      </c>
      <c r="F9" s="30">
        <v>425.0</v>
      </c>
      <c r="G9" s="30">
        <v>407.0</v>
      </c>
      <c r="H9" s="30">
        <v>351.0</v>
      </c>
      <c r="I9" s="30">
        <v>351.0</v>
      </c>
      <c r="J9" s="30">
        <v>368.0</v>
      </c>
      <c r="K9" s="30">
        <v>457.0</v>
      </c>
      <c r="L9" s="31">
        <v>396.0</v>
      </c>
      <c r="M9" s="24">
        <f t="shared" si="2"/>
        <v>2755</v>
      </c>
      <c r="N9" s="30">
        <v>1447.0</v>
      </c>
      <c r="O9" s="31">
        <v>1308.0</v>
      </c>
      <c r="P9" s="24">
        <f t="shared" si="3"/>
        <v>2755</v>
      </c>
      <c r="Q9" s="30">
        <v>1790.0</v>
      </c>
      <c r="R9" s="31">
        <v>965.0</v>
      </c>
      <c r="S9" s="24">
        <f t="shared" si="4"/>
        <v>2755</v>
      </c>
      <c r="T9" s="30">
        <v>2679.0</v>
      </c>
      <c r="U9" s="30">
        <v>1228.0</v>
      </c>
      <c r="V9" s="30">
        <v>6.0</v>
      </c>
      <c r="W9" s="30">
        <v>719.0</v>
      </c>
      <c r="X9" s="30">
        <v>175.0</v>
      </c>
      <c r="Y9" s="30">
        <v>26.0</v>
      </c>
      <c r="Z9" s="31">
        <v>0.0</v>
      </c>
      <c r="AA9" s="24">
        <f t="shared" si="5"/>
        <v>4833</v>
      </c>
      <c r="AB9" s="30">
        <v>215.0</v>
      </c>
      <c r="AC9" s="30">
        <v>2124.0</v>
      </c>
      <c r="AD9" s="30">
        <v>1667.0</v>
      </c>
      <c r="AE9" s="30">
        <v>587.0</v>
      </c>
      <c r="AF9" s="30">
        <v>240.0</v>
      </c>
      <c r="AG9" s="24">
        <f t="shared" si="6"/>
        <v>4833</v>
      </c>
      <c r="AH9" s="30">
        <v>3212.0</v>
      </c>
      <c r="AI9" s="30">
        <v>1621.0</v>
      </c>
      <c r="AJ9" s="24">
        <f t="shared" si="7"/>
        <v>4833</v>
      </c>
      <c r="AK9" s="30">
        <v>2610.0</v>
      </c>
      <c r="AL9" s="30">
        <v>2223.0</v>
      </c>
      <c r="AM9" s="24">
        <f t="shared" si="8"/>
        <v>4833</v>
      </c>
      <c r="AN9" s="30">
        <v>4663.0</v>
      </c>
      <c r="AO9" s="31">
        <v>170.0</v>
      </c>
      <c r="AP9" s="24">
        <f t="shared" si="9"/>
        <v>4833</v>
      </c>
      <c r="AQ9" s="30">
        <v>3976.0</v>
      </c>
      <c r="AR9" s="30">
        <v>612.0</v>
      </c>
      <c r="AS9" s="30">
        <v>1.0</v>
      </c>
      <c r="AT9" s="30">
        <v>0.0</v>
      </c>
      <c r="AU9" s="31">
        <v>244.0</v>
      </c>
      <c r="AV9" s="24">
        <f t="shared" si="15"/>
        <v>4833</v>
      </c>
      <c r="AW9" s="29">
        <f t="shared" si="10"/>
        <v>244</v>
      </c>
      <c r="AX9" s="30">
        <v>4184.0</v>
      </c>
      <c r="AY9" s="31">
        <v>405.0</v>
      </c>
      <c r="AZ9" s="24">
        <f t="shared" si="11"/>
        <v>4833</v>
      </c>
      <c r="BA9" s="30">
        <v>2037.0</v>
      </c>
      <c r="BB9" s="30">
        <v>266.0</v>
      </c>
      <c r="BC9" s="30">
        <v>25.0</v>
      </c>
      <c r="BD9" s="30">
        <v>6.0</v>
      </c>
      <c r="BE9" s="30">
        <v>0.0</v>
      </c>
      <c r="BF9" s="30">
        <v>261.0</v>
      </c>
      <c r="BG9" s="30">
        <v>160.0</v>
      </c>
      <c r="BH9" s="31">
        <v>0.0</v>
      </c>
      <c r="BI9" s="24">
        <f t="shared" si="12"/>
        <v>2755</v>
      </c>
      <c r="BJ9" s="30">
        <v>159.0</v>
      </c>
      <c r="BK9" s="30">
        <v>161.0</v>
      </c>
      <c r="BL9" s="30">
        <v>279.0</v>
      </c>
      <c r="BM9" s="30">
        <v>5.0</v>
      </c>
      <c r="BN9" s="30">
        <v>1148.0</v>
      </c>
      <c r="BO9" s="30">
        <v>0.0</v>
      </c>
      <c r="BP9" s="31">
        <v>1003.0</v>
      </c>
      <c r="BQ9" s="24">
        <f t="shared" si="13"/>
        <v>2755</v>
      </c>
      <c r="BR9" s="32">
        <v>223.0</v>
      </c>
      <c r="BS9" s="30">
        <v>77.0</v>
      </c>
      <c r="BT9" s="31">
        <v>5077.0</v>
      </c>
      <c r="BU9" s="24">
        <f t="shared" si="14"/>
        <v>5377</v>
      </c>
    </row>
    <row r="10" ht="21.0" customHeight="1">
      <c r="A10" s="24" t="s">
        <v>77</v>
      </c>
      <c r="B10" s="33">
        <v>2672.0</v>
      </c>
      <c r="C10" s="30">
        <v>45.0</v>
      </c>
      <c r="D10" s="31">
        <v>82.0</v>
      </c>
      <c r="E10" s="28">
        <f t="shared" si="1"/>
        <v>2799</v>
      </c>
      <c r="F10" s="30">
        <v>439.0</v>
      </c>
      <c r="G10" s="30">
        <v>400.0</v>
      </c>
      <c r="H10" s="30">
        <v>409.0</v>
      </c>
      <c r="I10" s="30">
        <v>371.0</v>
      </c>
      <c r="J10" s="30">
        <v>369.0</v>
      </c>
      <c r="K10" s="30">
        <v>415.0</v>
      </c>
      <c r="L10" s="31">
        <v>396.0</v>
      </c>
      <c r="M10" s="24">
        <f t="shared" si="2"/>
        <v>2799</v>
      </c>
      <c r="N10" s="30">
        <v>1441.0</v>
      </c>
      <c r="O10" s="31">
        <v>1358.0</v>
      </c>
      <c r="P10" s="24">
        <f t="shared" si="3"/>
        <v>2799</v>
      </c>
      <c r="Q10" s="30">
        <v>1931.0</v>
      </c>
      <c r="R10" s="31">
        <v>868.0</v>
      </c>
      <c r="S10" s="24">
        <f t="shared" si="4"/>
        <v>2799</v>
      </c>
      <c r="T10" s="30">
        <v>2141.0</v>
      </c>
      <c r="U10" s="30">
        <v>1154.0</v>
      </c>
      <c r="V10" s="30">
        <v>15.0</v>
      </c>
      <c r="W10" s="30">
        <v>830.0</v>
      </c>
      <c r="X10" s="30">
        <v>245.0</v>
      </c>
      <c r="Y10" s="30">
        <v>40.0</v>
      </c>
      <c r="Z10" s="31">
        <v>1.0</v>
      </c>
      <c r="AA10" s="24">
        <f t="shared" si="5"/>
        <v>4426</v>
      </c>
      <c r="AB10" s="30">
        <v>348.0</v>
      </c>
      <c r="AC10" s="30">
        <v>1615.0</v>
      </c>
      <c r="AD10" s="30">
        <v>1462.0</v>
      </c>
      <c r="AE10" s="30">
        <v>733.0</v>
      </c>
      <c r="AF10" s="30">
        <v>268.0</v>
      </c>
      <c r="AG10" s="24">
        <f t="shared" si="6"/>
        <v>4426</v>
      </c>
      <c r="AH10" s="30">
        <v>2963.0</v>
      </c>
      <c r="AI10" s="30">
        <v>1463.0</v>
      </c>
      <c r="AJ10" s="24">
        <f t="shared" si="7"/>
        <v>4426</v>
      </c>
      <c r="AK10" s="30">
        <v>2794.0</v>
      </c>
      <c r="AL10" s="30">
        <v>1632.0</v>
      </c>
      <c r="AM10" s="24">
        <f t="shared" si="8"/>
        <v>4426</v>
      </c>
      <c r="AN10" s="30">
        <v>4194.0</v>
      </c>
      <c r="AO10" s="31">
        <v>232.0</v>
      </c>
      <c r="AP10" s="24">
        <f t="shared" si="9"/>
        <v>4426</v>
      </c>
      <c r="AQ10" s="30">
        <v>3509.0</v>
      </c>
      <c r="AR10" s="30">
        <v>493.0</v>
      </c>
      <c r="AS10" s="30">
        <v>1.0</v>
      </c>
      <c r="AT10" s="30">
        <v>0.0</v>
      </c>
      <c r="AU10" s="31">
        <v>423.0</v>
      </c>
      <c r="AV10" s="24">
        <f t="shared" si="15"/>
        <v>4426</v>
      </c>
      <c r="AW10" s="29">
        <f t="shared" si="10"/>
        <v>423</v>
      </c>
      <c r="AX10" s="30">
        <v>3523.0</v>
      </c>
      <c r="AY10" s="31">
        <v>480.0</v>
      </c>
      <c r="AZ10" s="24">
        <f t="shared" si="11"/>
        <v>4426</v>
      </c>
      <c r="BA10" s="30">
        <v>1918.0</v>
      </c>
      <c r="BB10" s="30">
        <v>387.0</v>
      </c>
      <c r="BC10" s="30">
        <v>26.0</v>
      </c>
      <c r="BD10" s="30">
        <v>12.0</v>
      </c>
      <c r="BE10" s="30">
        <v>0.0</v>
      </c>
      <c r="BF10" s="30">
        <v>292.0</v>
      </c>
      <c r="BG10" s="30">
        <v>164.0</v>
      </c>
      <c r="BH10" s="31">
        <v>0.0</v>
      </c>
      <c r="BI10" s="24">
        <f t="shared" si="12"/>
        <v>2799</v>
      </c>
      <c r="BJ10" s="30">
        <v>50.0</v>
      </c>
      <c r="BK10" s="30">
        <v>198.0</v>
      </c>
      <c r="BL10" s="30">
        <v>382.0</v>
      </c>
      <c r="BM10" s="30">
        <v>2.0</v>
      </c>
      <c r="BN10" s="30">
        <v>1178.0</v>
      </c>
      <c r="BO10" s="30">
        <v>0.0</v>
      </c>
      <c r="BP10" s="31">
        <v>989.0</v>
      </c>
      <c r="BQ10" s="24">
        <f t="shared" si="13"/>
        <v>2799</v>
      </c>
      <c r="BR10" s="32">
        <v>205.0</v>
      </c>
      <c r="BS10" s="30">
        <v>113.0</v>
      </c>
      <c r="BT10" s="31">
        <v>4394.0</v>
      </c>
      <c r="BU10" s="24">
        <f t="shared" si="14"/>
        <v>4712</v>
      </c>
    </row>
    <row r="11" ht="21.0" customHeight="1">
      <c r="A11" s="24" t="s">
        <v>78</v>
      </c>
      <c r="B11" s="33">
        <v>2500.0</v>
      </c>
      <c r="C11" s="30">
        <v>54.0</v>
      </c>
      <c r="D11" s="31">
        <v>61.0</v>
      </c>
      <c r="E11" s="28">
        <f t="shared" si="1"/>
        <v>2615</v>
      </c>
      <c r="F11" s="30">
        <v>579.0</v>
      </c>
      <c r="G11" s="30">
        <v>457.0</v>
      </c>
      <c r="H11" s="30">
        <v>592.0</v>
      </c>
      <c r="I11" s="30">
        <v>724.0</v>
      </c>
      <c r="J11" s="30">
        <v>111.0</v>
      </c>
      <c r="K11" s="30">
        <v>71.0</v>
      </c>
      <c r="L11" s="31">
        <v>81.0</v>
      </c>
      <c r="M11" s="24">
        <f t="shared" si="2"/>
        <v>2615</v>
      </c>
      <c r="N11" s="30">
        <v>1838.0</v>
      </c>
      <c r="O11" s="31">
        <v>777.0</v>
      </c>
      <c r="P11" s="24">
        <f t="shared" si="3"/>
        <v>2615</v>
      </c>
      <c r="Q11" s="30">
        <v>710.0</v>
      </c>
      <c r="R11" s="31">
        <v>1905.0</v>
      </c>
      <c r="S11" s="24">
        <f t="shared" si="4"/>
        <v>2615</v>
      </c>
      <c r="T11" s="30">
        <v>2320.0</v>
      </c>
      <c r="U11" s="30">
        <v>958.0</v>
      </c>
      <c r="V11" s="30">
        <v>15.0</v>
      </c>
      <c r="W11" s="30">
        <v>1296.0</v>
      </c>
      <c r="X11" s="30">
        <v>625.0</v>
      </c>
      <c r="Y11" s="30">
        <v>20.0</v>
      </c>
      <c r="Z11" s="31">
        <v>0.0</v>
      </c>
      <c r="AA11" s="24">
        <f t="shared" si="5"/>
        <v>5234</v>
      </c>
      <c r="AB11" s="30">
        <v>1174.0</v>
      </c>
      <c r="AC11" s="30">
        <v>1917.0</v>
      </c>
      <c r="AD11" s="30">
        <v>1719.0</v>
      </c>
      <c r="AE11" s="30">
        <v>369.0</v>
      </c>
      <c r="AF11" s="30">
        <v>55.0</v>
      </c>
      <c r="AG11" s="24">
        <f t="shared" si="6"/>
        <v>5234</v>
      </c>
      <c r="AH11" s="30">
        <v>4645.0</v>
      </c>
      <c r="AI11" s="30">
        <v>589.0</v>
      </c>
      <c r="AJ11" s="24">
        <f t="shared" si="7"/>
        <v>5234</v>
      </c>
      <c r="AK11" s="30">
        <v>3893.0</v>
      </c>
      <c r="AL11" s="30">
        <v>1341.0</v>
      </c>
      <c r="AM11" s="24">
        <f t="shared" si="8"/>
        <v>5234</v>
      </c>
      <c r="AN11" s="30">
        <v>5163.0</v>
      </c>
      <c r="AO11" s="31">
        <v>71.0</v>
      </c>
      <c r="AP11" s="24">
        <f t="shared" si="9"/>
        <v>5234</v>
      </c>
      <c r="AQ11" s="30">
        <v>2988.0</v>
      </c>
      <c r="AR11" s="30">
        <v>1222.0</v>
      </c>
      <c r="AS11" s="30">
        <v>0.0</v>
      </c>
      <c r="AT11" s="30">
        <v>0.0</v>
      </c>
      <c r="AU11" s="31">
        <v>1024.0</v>
      </c>
      <c r="AV11" s="24">
        <f t="shared" si="15"/>
        <v>5234</v>
      </c>
      <c r="AW11" s="29">
        <f t="shared" si="10"/>
        <v>1024</v>
      </c>
      <c r="AX11" s="30">
        <v>4148.0</v>
      </c>
      <c r="AY11" s="31">
        <v>62.0</v>
      </c>
      <c r="AZ11" s="24">
        <f t="shared" si="11"/>
        <v>5234</v>
      </c>
      <c r="BA11" s="30">
        <v>2280.0</v>
      </c>
      <c r="BB11" s="30">
        <v>121.0</v>
      </c>
      <c r="BC11" s="30">
        <v>48.0</v>
      </c>
      <c r="BD11" s="30">
        <v>2.0</v>
      </c>
      <c r="BE11" s="30">
        <v>0.0</v>
      </c>
      <c r="BF11" s="30">
        <v>127.0</v>
      </c>
      <c r="BG11" s="30">
        <v>37.0</v>
      </c>
      <c r="BH11" s="31">
        <v>0.0</v>
      </c>
      <c r="BI11" s="24">
        <f t="shared" si="12"/>
        <v>2615</v>
      </c>
      <c r="BJ11" s="30">
        <v>99.0</v>
      </c>
      <c r="BK11" s="30">
        <v>206.0</v>
      </c>
      <c r="BL11" s="30">
        <v>101.0</v>
      </c>
      <c r="BM11" s="30">
        <v>5.0</v>
      </c>
      <c r="BN11" s="30">
        <v>1937.0</v>
      </c>
      <c r="BO11" s="30">
        <v>0.0</v>
      </c>
      <c r="BP11" s="31">
        <v>267.0</v>
      </c>
      <c r="BQ11" s="24">
        <f t="shared" si="13"/>
        <v>2615</v>
      </c>
      <c r="BR11" s="32">
        <v>236.0</v>
      </c>
      <c r="BS11" s="30">
        <v>77.0</v>
      </c>
      <c r="BT11" s="31">
        <v>5281.0</v>
      </c>
      <c r="BU11" s="24">
        <f t="shared" si="14"/>
        <v>5594</v>
      </c>
    </row>
    <row r="12" ht="21.0" customHeight="1">
      <c r="A12" s="24" t="s">
        <v>79</v>
      </c>
      <c r="B12" s="33">
        <v>2589.0</v>
      </c>
      <c r="C12" s="30">
        <v>54.0</v>
      </c>
      <c r="D12" s="31">
        <v>66.0</v>
      </c>
      <c r="E12" s="28">
        <f t="shared" si="1"/>
        <v>2709</v>
      </c>
      <c r="F12" s="30">
        <v>426.0</v>
      </c>
      <c r="G12" s="30">
        <v>413.0</v>
      </c>
      <c r="H12" s="30">
        <v>399.0</v>
      </c>
      <c r="I12" s="30">
        <v>309.0</v>
      </c>
      <c r="J12" s="30">
        <v>375.0</v>
      </c>
      <c r="K12" s="30">
        <v>432.0</v>
      </c>
      <c r="L12" s="31">
        <v>355.0</v>
      </c>
      <c r="M12" s="24">
        <f t="shared" si="2"/>
        <v>2709</v>
      </c>
      <c r="N12" s="30">
        <v>1598.0</v>
      </c>
      <c r="O12" s="31">
        <v>1111.0</v>
      </c>
      <c r="P12" s="24">
        <f t="shared" si="3"/>
        <v>2709</v>
      </c>
      <c r="Q12" s="30">
        <v>1973.0</v>
      </c>
      <c r="R12" s="31">
        <v>736.0</v>
      </c>
      <c r="S12" s="24">
        <f t="shared" si="4"/>
        <v>2709</v>
      </c>
      <c r="T12" s="30">
        <v>2166.0</v>
      </c>
      <c r="U12" s="30">
        <v>1068.0</v>
      </c>
      <c r="V12" s="30">
        <v>67.0</v>
      </c>
      <c r="W12" s="30">
        <v>977.0</v>
      </c>
      <c r="X12" s="30">
        <v>380.0</v>
      </c>
      <c r="Y12" s="30">
        <v>36.0</v>
      </c>
      <c r="Z12" s="31">
        <v>0.0</v>
      </c>
      <c r="AA12" s="24">
        <f t="shared" si="5"/>
        <v>4694</v>
      </c>
      <c r="AB12" s="30">
        <v>347.0</v>
      </c>
      <c r="AC12" s="30">
        <v>1806.0</v>
      </c>
      <c r="AD12" s="30">
        <v>1710.0</v>
      </c>
      <c r="AE12" s="30">
        <v>568.0</v>
      </c>
      <c r="AF12" s="30">
        <v>263.0</v>
      </c>
      <c r="AG12" s="24">
        <f t="shared" si="6"/>
        <v>4694</v>
      </c>
      <c r="AH12" s="30">
        <v>3620.0</v>
      </c>
      <c r="AI12" s="30">
        <v>1074.0</v>
      </c>
      <c r="AJ12" s="24">
        <f t="shared" si="7"/>
        <v>4694</v>
      </c>
      <c r="AK12" s="30">
        <v>3433.0</v>
      </c>
      <c r="AL12" s="30">
        <v>1261.0</v>
      </c>
      <c r="AM12" s="24">
        <f t="shared" si="8"/>
        <v>4694</v>
      </c>
      <c r="AN12" s="30">
        <v>4593.0</v>
      </c>
      <c r="AO12" s="31">
        <v>101.0</v>
      </c>
      <c r="AP12" s="24">
        <f t="shared" si="9"/>
        <v>4694</v>
      </c>
      <c r="AQ12" s="30">
        <v>3582.0</v>
      </c>
      <c r="AR12" s="30">
        <v>499.0</v>
      </c>
      <c r="AS12" s="30">
        <v>0.0</v>
      </c>
      <c r="AT12" s="30">
        <v>0.0</v>
      </c>
      <c r="AU12" s="31">
        <v>613.0</v>
      </c>
      <c r="AV12" s="24">
        <f t="shared" si="15"/>
        <v>4694</v>
      </c>
      <c r="AW12" s="29">
        <f t="shared" si="10"/>
        <v>613</v>
      </c>
      <c r="AX12" s="30">
        <v>3743.0</v>
      </c>
      <c r="AY12" s="31">
        <v>338.0</v>
      </c>
      <c r="AZ12" s="24">
        <f t="shared" si="11"/>
        <v>4694</v>
      </c>
      <c r="BA12" s="30">
        <v>2143.0</v>
      </c>
      <c r="BB12" s="30">
        <v>250.0</v>
      </c>
      <c r="BC12" s="30">
        <v>81.0</v>
      </c>
      <c r="BD12" s="30">
        <v>34.0</v>
      </c>
      <c r="BE12" s="30">
        <v>6.0</v>
      </c>
      <c r="BF12" s="30">
        <v>152.0</v>
      </c>
      <c r="BG12" s="30">
        <v>43.0</v>
      </c>
      <c r="BH12" s="31">
        <v>0.0</v>
      </c>
      <c r="BI12" s="24">
        <f t="shared" si="12"/>
        <v>2709</v>
      </c>
      <c r="BJ12" s="30">
        <v>112.0</v>
      </c>
      <c r="BK12" s="30">
        <v>172.0</v>
      </c>
      <c r="BL12" s="30">
        <v>177.0</v>
      </c>
      <c r="BM12" s="30">
        <v>44.0</v>
      </c>
      <c r="BN12" s="30">
        <v>1508.0</v>
      </c>
      <c r="BO12" s="30">
        <v>0.0</v>
      </c>
      <c r="BP12" s="31">
        <v>696.0</v>
      </c>
      <c r="BQ12" s="24">
        <f t="shared" si="13"/>
        <v>2709</v>
      </c>
      <c r="BR12" s="32">
        <v>222.0</v>
      </c>
      <c r="BS12" s="30">
        <v>85.0</v>
      </c>
      <c r="BT12" s="31">
        <v>4634.0</v>
      </c>
      <c r="BU12" s="24">
        <f t="shared" si="14"/>
        <v>4941</v>
      </c>
    </row>
    <row r="13" ht="21.0" customHeight="1">
      <c r="A13" s="24" t="s">
        <v>80</v>
      </c>
      <c r="B13" s="35">
        <v>2636.0</v>
      </c>
      <c r="C13" s="36">
        <v>49.0</v>
      </c>
      <c r="D13" s="37">
        <v>72.0</v>
      </c>
      <c r="E13" s="28">
        <f t="shared" si="1"/>
        <v>2757</v>
      </c>
      <c r="F13" s="36">
        <v>555.0</v>
      </c>
      <c r="G13" s="36">
        <v>409.0</v>
      </c>
      <c r="H13" s="36">
        <v>336.0</v>
      </c>
      <c r="I13" s="36">
        <v>373.0</v>
      </c>
      <c r="J13" s="36">
        <v>306.0</v>
      </c>
      <c r="K13" s="36">
        <v>405.0</v>
      </c>
      <c r="L13" s="37">
        <v>373.0</v>
      </c>
      <c r="M13" s="24">
        <f t="shared" si="2"/>
        <v>2757</v>
      </c>
      <c r="N13" s="36">
        <v>1642.0</v>
      </c>
      <c r="O13" s="37">
        <v>1115.0</v>
      </c>
      <c r="P13" s="24">
        <f t="shared" si="3"/>
        <v>2757</v>
      </c>
      <c r="Q13" s="30">
        <v>1778.0</v>
      </c>
      <c r="R13" s="31">
        <v>979.0</v>
      </c>
      <c r="S13" s="24">
        <f t="shared" si="4"/>
        <v>2757</v>
      </c>
      <c r="T13" s="30">
        <v>2615.0</v>
      </c>
      <c r="U13" s="30">
        <v>1000.0</v>
      </c>
      <c r="V13" s="30">
        <v>65.0</v>
      </c>
      <c r="W13" s="30">
        <v>802.0</v>
      </c>
      <c r="X13" s="30">
        <v>316.0</v>
      </c>
      <c r="Y13" s="30">
        <v>87.0</v>
      </c>
      <c r="Z13" s="31">
        <v>0.0</v>
      </c>
      <c r="AA13" s="24">
        <f t="shared" si="5"/>
        <v>4885</v>
      </c>
      <c r="AB13" s="30">
        <v>332.0</v>
      </c>
      <c r="AC13" s="30">
        <v>1819.0</v>
      </c>
      <c r="AD13" s="30">
        <v>1621.0</v>
      </c>
      <c r="AE13" s="30">
        <v>833.0</v>
      </c>
      <c r="AF13" s="30">
        <v>280.0</v>
      </c>
      <c r="AG13" s="24">
        <f t="shared" si="6"/>
        <v>4885</v>
      </c>
      <c r="AH13" s="30">
        <v>3599.0</v>
      </c>
      <c r="AI13" s="30">
        <v>1286.0</v>
      </c>
      <c r="AJ13" s="24">
        <f t="shared" si="7"/>
        <v>4885</v>
      </c>
      <c r="AK13" s="30">
        <v>3447.0</v>
      </c>
      <c r="AL13" s="30">
        <v>1438.0</v>
      </c>
      <c r="AM13" s="24">
        <f t="shared" si="8"/>
        <v>4885</v>
      </c>
      <c r="AN13" s="30">
        <v>4701.0</v>
      </c>
      <c r="AO13" s="31">
        <v>184.0</v>
      </c>
      <c r="AP13" s="24">
        <f t="shared" si="9"/>
        <v>4885</v>
      </c>
      <c r="AQ13" s="30">
        <v>3559.0</v>
      </c>
      <c r="AR13" s="30">
        <v>989.0</v>
      </c>
      <c r="AS13" s="30">
        <v>0.0</v>
      </c>
      <c r="AT13" s="30">
        <v>0.0</v>
      </c>
      <c r="AU13" s="31">
        <v>337.0</v>
      </c>
      <c r="AV13" s="24">
        <f t="shared" si="15"/>
        <v>4885</v>
      </c>
      <c r="AW13" s="29">
        <f t="shared" si="10"/>
        <v>337</v>
      </c>
      <c r="AX13" s="30">
        <v>4266.0</v>
      </c>
      <c r="AY13" s="31">
        <v>282.0</v>
      </c>
      <c r="AZ13" s="24">
        <f t="shared" si="11"/>
        <v>4885</v>
      </c>
      <c r="BA13" s="30">
        <v>2089.0</v>
      </c>
      <c r="BB13" s="30">
        <v>395.0</v>
      </c>
      <c r="BC13" s="30">
        <v>41.0</v>
      </c>
      <c r="BD13" s="30">
        <v>21.0</v>
      </c>
      <c r="BE13" s="30">
        <v>1.0</v>
      </c>
      <c r="BF13" s="30">
        <v>160.0</v>
      </c>
      <c r="BG13" s="30">
        <v>50.0</v>
      </c>
      <c r="BH13" s="31">
        <v>0.0</v>
      </c>
      <c r="BI13" s="24">
        <f t="shared" si="12"/>
        <v>2757</v>
      </c>
      <c r="BJ13" s="36">
        <v>192.0</v>
      </c>
      <c r="BK13" s="36">
        <v>193.0</v>
      </c>
      <c r="BL13" s="36">
        <v>273.0</v>
      </c>
      <c r="BM13" s="36">
        <v>121.0</v>
      </c>
      <c r="BN13" s="36">
        <v>1214.0</v>
      </c>
      <c r="BO13" s="36">
        <v>0.0</v>
      </c>
      <c r="BP13" s="37">
        <v>764.0</v>
      </c>
      <c r="BQ13" s="38">
        <f t="shared" si="13"/>
        <v>2757</v>
      </c>
      <c r="BR13" s="39">
        <v>228.0</v>
      </c>
      <c r="BS13" s="36">
        <v>93.0</v>
      </c>
      <c r="BT13" s="37">
        <v>4810.0</v>
      </c>
      <c r="BU13" s="38">
        <f t="shared" si="14"/>
        <v>5131</v>
      </c>
    </row>
    <row r="14" ht="21.0" customHeight="1">
      <c r="A14" s="24" t="s">
        <v>47</v>
      </c>
      <c r="B14" s="40">
        <f t="shared" ref="B14:L14" si="16">SUM(B2:B13)</f>
        <v>31236</v>
      </c>
      <c r="C14" s="41">
        <f t="shared" si="16"/>
        <v>695</v>
      </c>
      <c r="D14" s="41">
        <f t="shared" si="16"/>
        <v>753</v>
      </c>
      <c r="E14" s="42">
        <f t="shared" si="16"/>
        <v>32684</v>
      </c>
      <c r="F14" s="41">
        <f t="shared" si="16"/>
        <v>5610</v>
      </c>
      <c r="G14" s="41">
        <f t="shared" si="16"/>
        <v>4885</v>
      </c>
      <c r="H14" s="41">
        <f t="shared" si="16"/>
        <v>4665</v>
      </c>
      <c r="I14" s="41">
        <f t="shared" si="16"/>
        <v>4582</v>
      </c>
      <c r="J14" s="41">
        <f t="shared" si="16"/>
        <v>3932</v>
      </c>
      <c r="K14" s="41">
        <f t="shared" si="16"/>
        <v>4689</v>
      </c>
      <c r="L14" s="41">
        <f t="shared" si="16"/>
        <v>4321</v>
      </c>
      <c r="M14" s="24">
        <f t="shared" si="2"/>
        <v>32684</v>
      </c>
      <c r="N14" s="41">
        <f t="shared" ref="N14:R14" si="17">SUM(N2:N13)</f>
        <v>20076</v>
      </c>
      <c r="O14" s="41">
        <f t="shared" si="17"/>
        <v>12608</v>
      </c>
      <c r="P14" s="24">
        <f t="shared" si="17"/>
        <v>32684</v>
      </c>
      <c r="Q14" s="41">
        <f t="shared" si="17"/>
        <v>21453</v>
      </c>
      <c r="R14" s="43">
        <f t="shared" si="17"/>
        <v>11231</v>
      </c>
      <c r="S14" s="24">
        <f t="shared" si="4"/>
        <v>32684</v>
      </c>
      <c r="T14" s="41">
        <f t="shared" ref="T14:AO14" si="18">SUM(T2:T13)</f>
        <v>26622</v>
      </c>
      <c r="U14" s="41">
        <f t="shared" si="18"/>
        <v>12235</v>
      </c>
      <c r="V14" s="41">
        <f t="shared" si="18"/>
        <v>627</v>
      </c>
      <c r="W14" s="41">
        <f t="shared" si="18"/>
        <v>12573</v>
      </c>
      <c r="X14" s="41">
        <f t="shared" si="18"/>
        <v>3968</v>
      </c>
      <c r="Y14" s="41">
        <f t="shared" si="18"/>
        <v>621</v>
      </c>
      <c r="Z14" s="41">
        <f t="shared" si="18"/>
        <v>29</v>
      </c>
      <c r="AA14" s="24">
        <f t="shared" si="18"/>
        <v>56675</v>
      </c>
      <c r="AB14" s="24">
        <f t="shared" si="18"/>
        <v>4997</v>
      </c>
      <c r="AC14" s="41">
        <f t="shared" si="18"/>
        <v>22878</v>
      </c>
      <c r="AD14" s="41">
        <f t="shared" si="18"/>
        <v>18352</v>
      </c>
      <c r="AE14" s="41">
        <f t="shared" si="18"/>
        <v>7669</v>
      </c>
      <c r="AF14" s="41">
        <f t="shared" si="18"/>
        <v>2779</v>
      </c>
      <c r="AG14" s="24">
        <f t="shared" si="18"/>
        <v>56675</v>
      </c>
      <c r="AH14" s="41">
        <f t="shared" si="18"/>
        <v>43282</v>
      </c>
      <c r="AI14" s="41">
        <f t="shared" si="18"/>
        <v>13393</v>
      </c>
      <c r="AJ14" s="24">
        <f t="shared" si="18"/>
        <v>56675</v>
      </c>
      <c r="AK14" s="41">
        <f t="shared" si="18"/>
        <v>39757</v>
      </c>
      <c r="AL14" s="41">
        <f t="shared" si="18"/>
        <v>16918</v>
      </c>
      <c r="AM14" s="24">
        <f t="shared" si="18"/>
        <v>56675</v>
      </c>
      <c r="AN14" s="41">
        <f t="shared" si="18"/>
        <v>54799</v>
      </c>
      <c r="AO14" s="43">
        <f t="shared" si="18"/>
        <v>1876</v>
      </c>
      <c r="AP14" s="24">
        <f t="shared" si="9"/>
        <v>56675</v>
      </c>
      <c r="AQ14" s="41">
        <f t="shared" ref="AQ14:BU14" si="19">SUM(AQ2:AQ13)</f>
        <v>41518</v>
      </c>
      <c r="AR14" s="41">
        <f t="shared" si="19"/>
        <v>9347</v>
      </c>
      <c r="AS14" s="41">
        <f t="shared" si="19"/>
        <v>2</v>
      </c>
      <c r="AT14" s="41">
        <f t="shared" si="19"/>
        <v>0</v>
      </c>
      <c r="AU14" s="43">
        <f t="shared" si="19"/>
        <v>5808</v>
      </c>
      <c r="AV14" s="24">
        <f t="shared" si="19"/>
        <v>56675</v>
      </c>
      <c r="AW14" s="40">
        <f t="shared" si="19"/>
        <v>5808</v>
      </c>
      <c r="AX14" s="41">
        <f t="shared" si="19"/>
        <v>47087</v>
      </c>
      <c r="AY14" s="43">
        <f t="shared" si="19"/>
        <v>3780</v>
      </c>
      <c r="AZ14" s="24">
        <f t="shared" si="19"/>
        <v>56675</v>
      </c>
      <c r="BA14" s="44">
        <f t="shared" si="19"/>
        <v>24164</v>
      </c>
      <c r="BB14" s="44">
        <f t="shared" si="19"/>
        <v>3698</v>
      </c>
      <c r="BC14" s="44">
        <f t="shared" si="19"/>
        <v>738</v>
      </c>
      <c r="BD14" s="44">
        <f t="shared" si="19"/>
        <v>272</v>
      </c>
      <c r="BE14" s="44">
        <f t="shared" si="19"/>
        <v>36</v>
      </c>
      <c r="BF14" s="44">
        <f t="shared" si="19"/>
        <v>2678</v>
      </c>
      <c r="BG14" s="44">
        <f t="shared" si="19"/>
        <v>1047</v>
      </c>
      <c r="BH14" s="44">
        <f t="shared" si="19"/>
        <v>51</v>
      </c>
      <c r="BI14" s="24">
        <f t="shared" si="19"/>
        <v>32684</v>
      </c>
      <c r="BJ14" s="24">
        <f t="shared" si="19"/>
        <v>1620</v>
      </c>
      <c r="BK14" s="24">
        <f t="shared" si="19"/>
        <v>2042</v>
      </c>
      <c r="BL14" s="24">
        <f t="shared" si="19"/>
        <v>3036</v>
      </c>
      <c r="BM14" s="24">
        <f t="shared" si="19"/>
        <v>498</v>
      </c>
      <c r="BN14" s="24">
        <f t="shared" si="19"/>
        <v>16119</v>
      </c>
      <c r="BO14" s="24">
        <f t="shared" si="19"/>
        <v>0</v>
      </c>
      <c r="BP14" s="24">
        <f t="shared" si="19"/>
        <v>9369</v>
      </c>
      <c r="BQ14" s="24">
        <f t="shared" si="19"/>
        <v>32684</v>
      </c>
      <c r="BR14" s="42">
        <f t="shared" si="19"/>
        <v>2541</v>
      </c>
      <c r="BS14" s="24">
        <f t="shared" si="19"/>
        <v>983</v>
      </c>
      <c r="BT14" s="24">
        <f t="shared" si="19"/>
        <v>56924</v>
      </c>
      <c r="BU14" s="24">
        <f t="shared" si="19"/>
        <v>60448</v>
      </c>
    </row>
    <row r="15" ht="12.75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3" width="8.0"/>
  </cols>
  <sheetData>
    <row r="1" ht="124.5" customHeight="1">
      <c r="A1" s="2" t="s">
        <v>1</v>
      </c>
      <c r="B1" s="3" t="s">
        <v>2</v>
      </c>
      <c r="C1" s="3" t="s">
        <v>3</v>
      </c>
      <c r="D1" s="4" t="s">
        <v>4</v>
      </c>
      <c r="E1" s="5" t="s">
        <v>5</v>
      </c>
      <c r="F1" s="2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6" t="s">
        <v>13</v>
      </c>
      <c r="N1" s="2" t="s">
        <v>14</v>
      </c>
      <c r="O1" s="3" t="s">
        <v>15</v>
      </c>
      <c r="P1" s="6" t="s">
        <v>16</v>
      </c>
      <c r="Q1" s="2" t="s">
        <v>17</v>
      </c>
      <c r="R1" s="3" t="s">
        <v>18</v>
      </c>
      <c r="S1" s="6" t="s">
        <v>19</v>
      </c>
      <c r="T1" s="2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6" t="s">
        <v>27</v>
      </c>
      <c r="AB1" s="2">
        <v>-18.0</v>
      </c>
      <c r="AC1" s="3" t="s">
        <v>28</v>
      </c>
      <c r="AD1" s="3" t="s">
        <v>29</v>
      </c>
      <c r="AE1" s="3" t="s">
        <v>30</v>
      </c>
      <c r="AF1" s="3" t="s">
        <v>31</v>
      </c>
      <c r="AG1" s="6" t="s">
        <v>32</v>
      </c>
      <c r="AH1" s="2" t="s">
        <v>33</v>
      </c>
      <c r="AI1" s="3" t="s">
        <v>34</v>
      </c>
      <c r="AJ1" s="6" t="s">
        <v>35</v>
      </c>
      <c r="AK1" s="2" t="s">
        <v>36</v>
      </c>
      <c r="AL1" s="3" t="s">
        <v>37</v>
      </c>
      <c r="AM1" s="6" t="s">
        <v>38</v>
      </c>
      <c r="AN1" s="2" t="s">
        <v>39</v>
      </c>
      <c r="AO1" s="3" t="s">
        <v>40</v>
      </c>
      <c r="AP1" s="6" t="s">
        <v>41</v>
      </c>
      <c r="AQ1" s="2" t="s">
        <v>42</v>
      </c>
      <c r="AR1" s="3" t="s">
        <v>43</v>
      </c>
      <c r="AS1" s="3" t="s">
        <v>44</v>
      </c>
      <c r="AT1" s="3" t="s">
        <v>45</v>
      </c>
      <c r="AU1" s="7" t="s">
        <v>46</v>
      </c>
      <c r="AV1" s="8" t="s">
        <v>47</v>
      </c>
      <c r="AW1" s="9" t="s">
        <v>46</v>
      </c>
      <c r="AX1" s="3" t="s">
        <v>48</v>
      </c>
      <c r="AY1" s="3" t="s">
        <v>49</v>
      </c>
      <c r="AZ1" s="10" t="s">
        <v>47</v>
      </c>
      <c r="BA1" s="11" t="s">
        <v>50</v>
      </c>
      <c r="BB1" s="12" t="s">
        <v>51</v>
      </c>
      <c r="BC1" s="12" t="s">
        <v>52</v>
      </c>
      <c r="BD1" s="12" t="s">
        <v>53</v>
      </c>
      <c r="BE1" s="13" t="s">
        <v>54</v>
      </c>
      <c r="BF1" s="14" t="s">
        <v>55</v>
      </c>
      <c r="BG1" s="14" t="s">
        <v>56</v>
      </c>
      <c r="BH1" s="15" t="s">
        <v>57</v>
      </c>
      <c r="BI1" s="16" t="s">
        <v>47</v>
      </c>
      <c r="BJ1" s="16" t="s">
        <v>58</v>
      </c>
      <c r="BK1" s="17" t="s">
        <v>59</v>
      </c>
      <c r="BL1" s="18" t="s">
        <v>60</v>
      </c>
      <c r="BM1" s="18" t="s">
        <v>61</v>
      </c>
      <c r="BN1" s="18" t="s">
        <v>62</v>
      </c>
      <c r="BO1" s="18" t="s">
        <v>63</v>
      </c>
      <c r="BP1" s="18" t="s">
        <v>26</v>
      </c>
      <c r="BQ1" s="19" t="s">
        <v>64</v>
      </c>
      <c r="BR1" s="20" t="s">
        <v>65</v>
      </c>
      <c r="BS1" s="21" t="s">
        <v>66</v>
      </c>
      <c r="BT1" s="18" t="s">
        <v>67</v>
      </c>
      <c r="BU1" s="22" t="s">
        <v>68</v>
      </c>
    </row>
    <row r="2" ht="21.0" customHeight="1">
      <c r="A2" s="24" t="s">
        <v>69</v>
      </c>
      <c r="B2" s="25">
        <v>1987.0</v>
      </c>
      <c r="C2" s="26">
        <v>106.0</v>
      </c>
      <c r="D2" s="27">
        <v>33.0</v>
      </c>
      <c r="E2" s="28">
        <f t="shared" ref="E2:E13" si="1">SUM(B2:D2)</f>
        <v>2126</v>
      </c>
      <c r="F2" s="26">
        <v>190.0</v>
      </c>
      <c r="G2" s="26">
        <v>360.0</v>
      </c>
      <c r="H2" s="26">
        <v>421.0</v>
      </c>
      <c r="I2" s="26">
        <v>368.0</v>
      </c>
      <c r="J2" s="26">
        <v>347.0</v>
      </c>
      <c r="K2" s="26">
        <v>285.0</v>
      </c>
      <c r="L2" s="27">
        <v>155.0</v>
      </c>
      <c r="M2" s="24">
        <f t="shared" ref="M2:M14" si="2">F2+G2+H2+I2+J2+K2+L2</f>
        <v>2126</v>
      </c>
      <c r="N2" s="26">
        <v>1012.0</v>
      </c>
      <c r="O2" s="27">
        <v>1114.0</v>
      </c>
      <c r="P2" s="24">
        <f t="shared" ref="P2:P13" si="3">SUM(N2:O2)</f>
        <v>2126</v>
      </c>
      <c r="Q2" s="26">
        <v>945.0</v>
      </c>
      <c r="R2" s="27">
        <v>1181.0</v>
      </c>
      <c r="S2" s="24">
        <f t="shared" ref="S2:S13" si="4">SUM(Q2:R2)</f>
        <v>2126</v>
      </c>
      <c r="T2" s="26">
        <v>1979.0</v>
      </c>
      <c r="U2" s="26">
        <v>1112.0</v>
      </c>
      <c r="V2" s="26">
        <v>34.0</v>
      </c>
      <c r="W2" s="26">
        <v>448.0</v>
      </c>
      <c r="X2" s="26">
        <v>98.0</v>
      </c>
      <c r="Y2" s="26">
        <v>63.0</v>
      </c>
      <c r="Z2" s="27">
        <v>98.0</v>
      </c>
      <c r="AA2" s="24">
        <f t="shared" ref="AA2:AA13" si="5">SUM(T2:Z2)</f>
        <v>3832</v>
      </c>
      <c r="AB2" s="26">
        <v>259.0</v>
      </c>
      <c r="AC2" s="26">
        <v>1169.0</v>
      </c>
      <c r="AD2" s="26">
        <v>1514.0</v>
      </c>
      <c r="AE2" s="26">
        <v>569.0</v>
      </c>
      <c r="AF2" s="26">
        <v>321.0</v>
      </c>
      <c r="AG2" s="24">
        <f t="shared" ref="AG2:AG13" si="6">SUM(AB2:AF2)</f>
        <v>3832</v>
      </c>
      <c r="AH2" s="26">
        <v>2541.0</v>
      </c>
      <c r="AI2" s="26">
        <v>1291.0</v>
      </c>
      <c r="AJ2" s="24">
        <f t="shared" ref="AJ2:AJ13" si="7">SUM(AH2:AI2)</f>
        <v>3832</v>
      </c>
      <c r="AK2" s="26">
        <v>1546.0</v>
      </c>
      <c r="AL2" s="26">
        <v>2286.0</v>
      </c>
      <c r="AM2" s="24">
        <f t="shared" ref="AM2:AM13" si="8">SUM(AK2:AL2)</f>
        <v>3832</v>
      </c>
      <c r="AN2" s="26">
        <v>3718.0</v>
      </c>
      <c r="AO2" s="27">
        <v>114.0</v>
      </c>
      <c r="AP2" s="24">
        <f t="shared" ref="AP2:AP13" si="9">SUM(AN2:AO2)</f>
        <v>3832</v>
      </c>
      <c r="AQ2" s="26">
        <v>2490.0</v>
      </c>
      <c r="AR2" s="26">
        <v>513.0</v>
      </c>
      <c r="AS2" s="26">
        <v>0.0</v>
      </c>
      <c r="AT2" s="26">
        <v>6.0</v>
      </c>
      <c r="AU2" s="27">
        <v>823.0</v>
      </c>
      <c r="AV2" s="24">
        <f>+AQ2+AR2+AS2+AT2+AU2</f>
        <v>3832</v>
      </c>
      <c r="AW2" s="29">
        <f t="shared" ref="AW2:AW13" si="10">AU2</f>
        <v>823</v>
      </c>
      <c r="AX2" s="26">
        <v>2264.0</v>
      </c>
      <c r="AY2" s="27">
        <v>745.0</v>
      </c>
      <c r="AZ2" s="24">
        <f t="shared" ref="AZ2:AZ13" si="11">SUM(AW2:AY2)</f>
        <v>3832</v>
      </c>
      <c r="BA2" s="30">
        <v>1604.0</v>
      </c>
      <c r="BB2" s="30">
        <v>198.0</v>
      </c>
      <c r="BC2" s="30">
        <v>33.0</v>
      </c>
      <c r="BD2" s="30">
        <v>3.0</v>
      </c>
      <c r="BE2" s="30">
        <v>0.0</v>
      </c>
      <c r="BF2" s="30">
        <v>165.0</v>
      </c>
      <c r="BG2" s="30">
        <v>123.0</v>
      </c>
      <c r="BH2" s="31">
        <v>0.0</v>
      </c>
      <c r="BI2" s="24">
        <f t="shared" ref="BI2:BI13" si="12">SUM(BA2:BH2)</f>
        <v>2126</v>
      </c>
      <c r="BJ2" s="30">
        <v>156.0</v>
      </c>
      <c r="BK2" s="30">
        <v>198.0</v>
      </c>
      <c r="BL2" s="30">
        <v>219.0</v>
      </c>
      <c r="BM2" s="30">
        <v>36.0</v>
      </c>
      <c r="BN2" s="30">
        <v>136.0</v>
      </c>
      <c r="BO2" s="30">
        <v>0.0</v>
      </c>
      <c r="BP2" s="31">
        <v>1381.0</v>
      </c>
      <c r="BQ2" s="24">
        <f t="shared" ref="BQ2:BQ13" si="13">SUM(BJ2:BP2)</f>
        <v>2126</v>
      </c>
      <c r="BR2" s="32">
        <v>203.0</v>
      </c>
      <c r="BS2" s="30">
        <v>35.0</v>
      </c>
      <c r="BT2" s="31">
        <v>3572.0</v>
      </c>
      <c r="BU2" s="24">
        <f t="shared" ref="BU2:BU13" si="14">SUM(BR2:BT2)</f>
        <v>3810</v>
      </c>
    </row>
    <row r="3" ht="21.0" customHeight="1">
      <c r="A3" s="24" t="s">
        <v>70</v>
      </c>
      <c r="B3" s="33">
        <v>1944.0</v>
      </c>
      <c r="C3" s="30">
        <v>100.0</v>
      </c>
      <c r="D3" s="31">
        <v>36.0</v>
      </c>
      <c r="E3" s="28">
        <f t="shared" si="1"/>
        <v>2080</v>
      </c>
      <c r="F3" s="30">
        <v>185.0</v>
      </c>
      <c r="G3" s="30">
        <v>366.0</v>
      </c>
      <c r="H3" s="30">
        <v>371.0</v>
      </c>
      <c r="I3" s="30">
        <v>399.0</v>
      </c>
      <c r="J3" s="30">
        <v>322.0</v>
      </c>
      <c r="K3" s="30">
        <v>284.0</v>
      </c>
      <c r="L3" s="31">
        <v>153.0</v>
      </c>
      <c r="M3" s="24">
        <f t="shared" si="2"/>
        <v>2080</v>
      </c>
      <c r="N3" s="30">
        <v>989.0</v>
      </c>
      <c r="O3" s="31">
        <v>1091.0</v>
      </c>
      <c r="P3" s="24">
        <f t="shared" si="3"/>
        <v>2080</v>
      </c>
      <c r="Q3" s="30">
        <v>938.0</v>
      </c>
      <c r="R3" s="31">
        <v>1142.0</v>
      </c>
      <c r="S3" s="24">
        <f t="shared" si="4"/>
        <v>2080</v>
      </c>
      <c r="T3" s="30">
        <v>1985.0</v>
      </c>
      <c r="U3" s="30">
        <v>1102.0</v>
      </c>
      <c r="V3" s="30">
        <v>36.0</v>
      </c>
      <c r="W3" s="30">
        <v>548.0</v>
      </c>
      <c r="X3" s="30">
        <v>102.0</v>
      </c>
      <c r="Y3" s="30">
        <v>65.0</v>
      </c>
      <c r="Z3" s="31">
        <v>110.0</v>
      </c>
      <c r="AA3" s="24">
        <f t="shared" si="5"/>
        <v>3948</v>
      </c>
      <c r="AB3" s="30">
        <v>589.0</v>
      </c>
      <c r="AC3" s="30">
        <v>1011.0</v>
      </c>
      <c r="AD3" s="30">
        <v>863.0</v>
      </c>
      <c r="AE3" s="30">
        <v>852.0</v>
      </c>
      <c r="AF3" s="30">
        <v>633.0</v>
      </c>
      <c r="AG3" s="24">
        <f t="shared" si="6"/>
        <v>3948</v>
      </c>
      <c r="AH3" s="30">
        <v>2632.0</v>
      </c>
      <c r="AI3" s="30">
        <v>1316.0</v>
      </c>
      <c r="AJ3" s="24">
        <f t="shared" si="7"/>
        <v>3948</v>
      </c>
      <c r="AK3" s="30">
        <v>2385.0</v>
      </c>
      <c r="AL3" s="30">
        <v>1563.0</v>
      </c>
      <c r="AM3" s="24">
        <f t="shared" si="8"/>
        <v>3948</v>
      </c>
      <c r="AN3" s="30">
        <v>3792.0</v>
      </c>
      <c r="AO3" s="31">
        <v>156.0</v>
      </c>
      <c r="AP3" s="24">
        <f t="shared" si="9"/>
        <v>3948</v>
      </c>
      <c r="AQ3" s="30">
        <v>2574.0</v>
      </c>
      <c r="AR3" s="30">
        <v>601.0</v>
      </c>
      <c r="AS3" s="30">
        <v>0.0</v>
      </c>
      <c r="AT3" s="30">
        <v>0.0</v>
      </c>
      <c r="AU3" s="31">
        <v>773.0</v>
      </c>
      <c r="AV3" s="24">
        <f t="shared" ref="AV3:AV13" si="15">SUM(AQ3:AU3)</f>
        <v>3948</v>
      </c>
      <c r="AW3" s="29">
        <f t="shared" si="10"/>
        <v>773</v>
      </c>
      <c r="AX3" s="30">
        <v>2348.0</v>
      </c>
      <c r="AY3" s="31">
        <v>827.0</v>
      </c>
      <c r="AZ3" s="24">
        <f t="shared" si="11"/>
        <v>3948</v>
      </c>
      <c r="BA3" s="30">
        <v>1428.0</v>
      </c>
      <c r="BB3" s="30">
        <v>201.0</v>
      </c>
      <c r="BC3" s="30">
        <v>37.0</v>
      </c>
      <c r="BD3" s="30">
        <v>0.0</v>
      </c>
      <c r="BE3" s="30">
        <v>0.0</v>
      </c>
      <c r="BF3" s="30">
        <v>124.0</v>
      </c>
      <c r="BG3" s="30">
        <v>133.0</v>
      </c>
      <c r="BH3" s="31">
        <v>157.0</v>
      </c>
      <c r="BI3" s="24">
        <f t="shared" si="12"/>
        <v>2080</v>
      </c>
      <c r="BJ3" s="30">
        <v>145.0</v>
      </c>
      <c r="BK3" s="30">
        <v>190.0</v>
      </c>
      <c r="BL3" s="30">
        <v>218.0</v>
      </c>
      <c r="BM3" s="30">
        <v>43.0</v>
      </c>
      <c r="BN3" s="30">
        <v>623.0</v>
      </c>
      <c r="BO3" s="30">
        <v>0.0</v>
      </c>
      <c r="BP3" s="31">
        <v>861.0</v>
      </c>
      <c r="BQ3" s="24">
        <f t="shared" si="13"/>
        <v>2080</v>
      </c>
      <c r="BR3" s="32">
        <v>184.0</v>
      </c>
      <c r="BS3" s="30">
        <v>45.0</v>
      </c>
      <c r="BT3" s="31">
        <v>3725.0</v>
      </c>
      <c r="BU3" s="24">
        <f t="shared" si="14"/>
        <v>3954</v>
      </c>
    </row>
    <row r="4" ht="21.0" customHeight="1">
      <c r="A4" s="24" t="s">
        <v>71</v>
      </c>
      <c r="B4" s="33">
        <v>2142.0</v>
      </c>
      <c r="C4" s="30">
        <v>119.0</v>
      </c>
      <c r="D4" s="31">
        <v>31.0</v>
      </c>
      <c r="E4" s="28">
        <f t="shared" si="1"/>
        <v>2292</v>
      </c>
      <c r="F4" s="30">
        <v>207.0</v>
      </c>
      <c r="G4" s="30">
        <v>412.0</v>
      </c>
      <c r="H4" s="30">
        <v>363.0</v>
      </c>
      <c r="I4" s="30">
        <v>419.0</v>
      </c>
      <c r="J4" s="30">
        <v>397.0</v>
      </c>
      <c r="K4" s="30">
        <v>284.0</v>
      </c>
      <c r="L4" s="31">
        <v>210.0</v>
      </c>
      <c r="M4" s="24">
        <f t="shared" si="2"/>
        <v>2292</v>
      </c>
      <c r="N4" s="30">
        <v>1097.0</v>
      </c>
      <c r="O4" s="31">
        <v>1195.0</v>
      </c>
      <c r="P4" s="24">
        <f t="shared" si="3"/>
        <v>2292</v>
      </c>
      <c r="Q4" s="30">
        <v>932.0</v>
      </c>
      <c r="R4" s="31">
        <v>1360.0</v>
      </c>
      <c r="S4" s="24">
        <f t="shared" si="4"/>
        <v>2292</v>
      </c>
      <c r="T4" s="30">
        <v>1802.0</v>
      </c>
      <c r="U4" s="30">
        <v>1097.0</v>
      </c>
      <c r="V4" s="30">
        <v>33.0</v>
      </c>
      <c r="W4" s="30">
        <v>610.0</v>
      </c>
      <c r="X4" s="30">
        <v>119.0</v>
      </c>
      <c r="Y4" s="30">
        <v>41.0</v>
      </c>
      <c r="Z4" s="31">
        <v>80.0</v>
      </c>
      <c r="AA4" s="24">
        <f t="shared" si="5"/>
        <v>3782</v>
      </c>
      <c r="AB4" s="30">
        <v>405.0</v>
      </c>
      <c r="AC4" s="30">
        <v>1215.0</v>
      </c>
      <c r="AD4" s="30">
        <v>823.0</v>
      </c>
      <c r="AE4" s="30">
        <v>819.0</v>
      </c>
      <c r="AF4" s="30">
        <v>520.0</v>
      </c>
      <c r="AG4" s="24">
        <f t="shared" si="6"/>
        <v>3782</v>
      </c>
      <c r="AH4" s="30">
        <v>2514.0</v>
      </c>
      <c r="AI4" s="30">
        <v>1268.0</v>
      </c>
      <c r="AJ4" s="24">
        <f t="shared" si="7"/>
        <v>3782</v>
      </c>
      <c r="AK4" s="30">
        <v>2465.0</v>
      </c>
      <c r="AL4" s="30">
        <v>1317.0</v>
      </c>
      <c r="AM4" s="24">
        <f t="shared" si="8"/>
        <v>3782</v>
      </c>
      <c r="AN4" s="30">
        <v>3611.0</v>
      </c>
      <c r="AO4" s="31">
        <v>171.0</v>
      </c>
      <c r="AP4" s="24">
        <f t="shared" si="9"/>
        <v>3782</v>
      </c>
      <c r="AQ4" s="30">
        <v>2061.0</v>
      </c>
      <c r="AR4" s="30">
        <v>925.0</v>
      </c>
      <c r="AS4" s="30">
        <v>0.0</v>
      </c>
      <c r="AT4" s="30">
        <v>3.0</v>
      </c>
      <c r="AU4" s="31">
        <v>793.0</v>
      </c>
      <c r="AV4" s="24">
        <f t="shared" si="15"/>
        <v>3782</v>
      </c>
      <c r="AW4" s="29">
        <f t="shared" si="10"/>
        <v>793</v>
      </c>
      <c r="AX4" s="30">
        <v>2465.0</v>
      </c>
      <c r="AY4" s="31">
        <v>524.0</v>
      </c>
      <c r="AZ4" s="24">
        <f t="shared" si="11"/>
        <v>3782</v>
      </c>
      <c r="BA4" s="30">
        <v>1568.0</v>
      </c>
      <c r="BB4" s="30">
        <v>236.0</v>
      </c>
      <c r="BC4" s="30">
        <v>37.0</v>
      </c>
      <c r="BD4" s="30">
        <v>1.0</v>
      </c>
      <c r="BE4" s="30">
        <v>0.0</v>
      </c>
      <c r="BF4" s="30">
        <v>137.0</v>
      </c>
      <c r="BG4" s="30">
        <v>124.0</v>
      </c>
      <c r="BH4" s="31">
        <v>189.0</v>
      </c>
      <c r="BI4" s="24">
        <f t="shared" si="12"/>
        <v>2292</v>
      </c>
      <c r="BJ4" s="30">
        <v>166.0</v>
      </c>
      <c r="BK4" s="30">
        <v>203.0</v>
      </c>
      <c r="BL4" s="30">
        <v>270.0</v>
      </c>
      <c r="BM4" s="30">
        <v>14.0</v>
      </c>
      <c r="BN4" s="30">
        <v>881.0</v>
      </c>
      <c r="BO4" s="30">
        <v>0.0</v>
      </c>
      <c r="BP4" s="31">
        <v>758.0</v>
      </c>
      <c r="BQ4" s="24">
        <f t="shared" si="13"/>
        <v>2292</v>
      </c>
      <c r="BR4" s="32">
        <v>210.0</v>
      </c>
      <c r="BS4" s="30">
        <v>41.0</v>
      </c>
      <c r="BT4" s="31">
        <v>3865.0</v>
      </c>
      <c r="BU4" s="24">
        <f t="shared" si="14"/>
        <v>4116</v>
      </c>
    </row>
    <row r="5" ht="21.0" customHeight="1">
      <c r="A5" s="24" t="s">
        <v>72</v>
      </c>
      <c r="B5" s="33">
        <v>2021.0</v>
      </c>
      <c r="C5" s="30">
        <v>110.0</v>
      </c>
      <c r="D5" s="31">
        <v>37.0</v>
      </c>
      <c r="E5" s="28">
        <f t="shared" si="1"/>
        <v>2168</v>
      </c>
      <c r="F5" s="30">
        <v>201.0</v>
      </c>
      <c r="G5" s="30">
        <v>399.0</v>
      </c>
      <c r="H5" s="30">
        <v>371.0</v>
      </c>
      <c r="I5" s="30">
        <v>422.0</v>
      </c>
      <c r="J5" s="30">
        <v>300.0</v>
      </c>
      <c r="K5" s="30">
        <v>263.0</v>
      </c>
      <c r="L5" s="31">
        <v>212.0</v>
      </c>
      <c r="M5" s="24">
        <f t="shared" si="2"/>
        <v>2168</v>
      </c>
      <c r="N5" s="30">
        <v>1179.0</v>
      </c>
      <c r="O5" s="31">
        <v>989.0</v>
      </c>
      <c r="P5" s="24">
        <f t="shared" si="3"/>
        <v>2168</v>
      </c>
      <c r="Q5" s="30">
        <v>823.0</v>
      </c>
      <c r="R5" s="31">
        <v>1345.0</v>
      </c>
      <c r="S5" s="24">
        <f t="shared" si="4"/>
        <v>2168</v>
      </c>
      <c r="T5" s="30">
        <v>1615.0</v>
      </c>
      <c r="U5" s="30">
        <v>676.0</v>
      </c>
      <c r="V5" s="30">
        <v>31.0</v>
      </c>
      <c r="W5" s="30">
        <v>410.0</v>
      </c>
      <c r="X5" s="30">
        <v>112.0</v>
      </c>
      <c r="Y5" s="30">
        <v>44.0</v>
      </c>
      <c r="Z5" s="31">
        <v>60.0</v>
      </c>
      <c r="AA5" s="24">
        <f t="shared" si="5"/>
        <v>2948</v>
      </c>
      <c r="AB5" s="30">
        <v>261.0</v>
      </c>
      <c r="AC5" s="30">
        <v>1330.0</v>
      </c>
      <c r="AD5" s="30">
        <v>862.0</v>
      </c>
      <c r="AE5" s="30">
        <v>368.0</v>
      </c>
      <c r="AF5" s="30">
        <v>127.0</v>
      </c>
      <c r="AG5" s="24">
        <f t="shared" si="6"/>
        <v>2948</v>
      </c>
      <c r="AH5" s="30">
        <v>2248.0</v>
      </c>
      <c r="AI5" s="30">
        <v>700.0</v>
      </c>
      <c r="AJ5" s="24">
        <f t="shared" si="7"/>
        <v>2948</v>
      </c>
      <c r="AK5" s="30">
        <v>1880.0</v>
      </c>
      <c r="AL5" s="30">
        <v>1068.0</v>
      </c>
      <c r="AM5" s="24">
        <f t="shared" si="8"/>
        <v>2948</v>
      </c>
      <c r="AN5" s="30">
        <v>2810.0</v>
      </c>
      <c r="AO5" s="31">
        <v>138.0</v>
      </c>
      <c r="AP5" s="24">
        <f t="shared" si="9"/>
        <v>2948</v>
      </c>
      <c r="AQ5" s="30">
        <v>1985.0</v>
      </c>
      <c r="AR5" s="30">
        <v>425.0</v>
      </c>
      <c r="AS5" s="30">
        <v>0.0</v>
      </c>
      <c r="AT5" s="30">
        <v>2.0</v>
      </c>
      <c r="AU5" s="31">
        <v>536.0</v>
      </c>
      <c r="AV5" s="24">
        <f t="shared" si="15"/>
        <v>2948</v>
      </c>
      <c r="AW5" s="29">
        <f t="shared" si="10"/>
        <v>536</v>
      </c>
      <c r="AX5" s="30">
        <v>2285.0</v>
      </c>
      <c r="AY5" s="31">
        <v>127.0</v>
      </c>
      <c r="AZ5" s="24">
        <f t="shared" si="11"/>
        <v>2948</v>
      </c>
      <c r="BA5" s="30">
        <v>1402.0</v>
      </c>
      <c r="BB5" s="30">
        <v>365.0</v>
      </c>
      <c r="BC5" s="30">
        <v>41.0</v>
      </c>
      <c r="BD5" s="30">
        <v>0.0</v>
      </c>
      <c r="BE5" s="30">
        <v>2.0</v>
      </c>
      <c r="BF5" s="30">
        <v>131.0</v>
      </c>
      <c r="BG5" s="30">
        <v>149.0</v>
      </c>
      <c r="BH5" s="31">
        <v>78.0</v>
      </c>
      <c r="BI5" s="24">
        <f t="shared" si="12"/>
        <v>2168</v>
      </c>
      <c r="BJ5" s="30">
        <v>165.0</v>
      </c>
      <c r="BK5" s="30">
        <v>199.0</v>
      </c>
      <c r="BL5" s="30">
        <v>204.0</v>
      </c>
      <c r="BM5" s="30">
        <v>17.0</v>
      </c>
      <c r="BN5" s="30">
        <v>875.0</v>
      </c>
      <c r="BO5" s="30">
        <v>0.0</v>
      </c>
      <c r="BP5" s="31">
        <v>708.0</v>
      </c>
      <c r="BQ5" s="24">
        <f t="shared" si="13"/>
        <v>2168</v>
      </c>
      <c r="BR5" s="32">
        <v>184.0</v>
      </c>
      <c r="BS5" s="30">
        <v>46.0</v>
      </c>
      <c r="BT5" s="31">
        <v>2795.0</v>
      </c>
      <c r="BU5" s="24">
        <f t="shared" si="14"/>
        <v>3025</v>
      </c>
    </row>
    <row r="6" ht="21.0" customHeight="1">
      <c r="A6" s="34" t="s">
        <v>73</v>
      </c>
      <c r="B6" s="33">
        <v>1873.0</v>
      </c>
      <c r="C6" s="30">
        <v>112.0</v>
      </c>
      <c r="D6" s="31">
        <v>34.0</v>
      </c>
      <c r="E6" s="28">
        <f t="shared" si="1"/>
        <v>2019</v>
      </c>
      <c r="F6" s="30">
        <v>201.0</v>
      </c>
      <c r="G6" s="30">
        <v>235.0</v>
      </c>
      <c r="H6" s="30">
        <v>410.0</v>
      </c>
      <c r="I6" s="30">
        <v>361.0</v>
      </c>
      <c r="J6" s="30">
        <v>314.0</v>
      </c>
      <c r="K6" s="30">
        <v>289.0</v>
      </c>
      <c r="L6" s="31">
        <v>209.0</v>
      </c>
      <c r="M6" s="24">
        <f t="shared" si="2"/>
        <v>2019</v>
      </c>
      <c r="N6" s="30">
        <v>1268.0</v>
      </c>
      <c r="O6" s="31">
        <v>751.0</v>
      </c>
      <c r="P6" s="24">
        <f t="shared" si="3"/>
        <v>2019</v>
      </c>
      <c r="Q6" s="30">
        <v>759.0</v>
      </c>
      <c r="R6" s="31">
        <v>1260.0</v>
      </c>
      <c r="S6" s="24">
        <f t="shared" si="4"/>
        <v>2019</v>
      </c>
      <c r="T6" s="30">
        <v>1710.0</v>
      </c>
      <c r="U6" s="30">
        <v>633.0</v>
      </c>
      <c r="V6" s="30">
        <v>24.0</v>
      </c>
      <c r="W6" s="30">
        <v>316.0</v>
      </c>
      <c r="X6" s="30">
        <v>98.0</v>
      </c>
      <c r="Y6" s="30">
        <v>26.0</v>
      </c>
      <c r="Z6" s="31">
        <v>61.0</v>
      </c>
      <c r="AA6" s="24">
        <f t="shared" si="5"/>
        <v>2868</v>
      </c>
      <c r="AB6" s="30">
        <v>223.0</v>
      </c>
      <c r="AC6" s="30">
        <v>982.0</v>
      </c>
      <c r="AD6" s="30">
        <v>826.0</v>
      </c>
      <c r="AE6" s="30">
        <v>683.0</v>
      </c>
      <c r="AF6" s="30">
        <v>154.0</v>
      </c>
      <c r="AG6" s="24">
        <f t="shared" si="6"/>
        <v>2868</v>
      </c>
      <c r="AH6" s="30">
        <v>2136.0</v>
      </c>
      <c r="AI6" s="30">
        <v>732.0</v>
      </c>
      <c r="AJ6" s="24">
        <f t="shared" si="7"/>
        <v>2868</v>
      </c>
      <c r="AK6" s="30">
        <v>1760.0</v>
      </c>
      <c r="AL6" s="30">
        <v>1108.0</v>
      </c>
      <c r="AM6" s="24">
        <f t="shared" si="8"/>
        <v>2868</v>
      </c>
      <c r="AN6" s="30">
        <v>2700.0</v>
      </c>
      <c r="AO6" s="31">
        <v>168.0</v>
      </c>
      <c r="AP6" s="24">
        <f t="shared" si="9"/>
        <v>2868</v>
      </c>
      <c r="AQ6" s="30">
        <v>1498.0</v>
      </c>
      <c r="AR6" s="30">
        <v>562.0</v>
      </c>
      <c r="AS6" s="30">
        <v>1.0</v>
      </c>
      <c r="AT6" s="30">
        <v>16.0</v>
      </c>
      <c r="AU6" s="31">
        <v>791.0</v>
      </c>
      <c r="AV6" s="24">
        <f t="shared" si="15"/>
        <v>2868</v>
      </c>
      <c r="AW6" s="29">
        <f t="shared" si="10"/>
        <v>791</v>
      </c>
      <c r="AX6" s="30">
        <v>1652.0</v>
      </c>
      <c r="AY6" s="31">
        <v>425.0</v>
      </c>
      <c r="AZ6" s="24">
        <f t="shared" si="11"/>
        <v>2868</v>
      </c>
      <c r="BA6" s="30">
        <v>1045.0</v>
      </c>
      <c r="BB6" s="30">
        <v>514.0</v>
      </c>
      <c r="BC6" s="30">
        <v>29.0</v>
      </c>
      <c r="BD6" s="30">
        <v>0.0</v>
      </c>
      <c r="BE6" s="30">
        <v>0.0</v>
      </c>
      <c r="BF6" s="30">
        <v>109.0</v>
      </c>
      <c r="BG6" s="30">
        <v>158.0</v>
      </c>
      <c r="BH6" s="31">
        <v>164.0</v>
      </c>
      <c r="BI6" s="24">
        <f t="shared" si="12"/>
        <v>2019</v>
      </c>
      <c r="BJ6" s="30">
        <v>179.0</v>
      </c>
      <c r="BK6" s="30">
        <v>395.0</v>
      </c>
      <c r="BL6" s="30">
        <v>378.0</v>
      </c>
      <c r="BM6" s="30">
        <v>15.0</v>
      </c>
      <c r="BN6" s="30">
        <v>602.0</v>
      </c>
      <c r="BO6" s="30">
        <v>0.0</v>
      </c>
      <c r="BP6" s="31">
        <v>450.0</v>
      </c>
      <c r="BQ6" s="24">
        <f t="shared" si="13"/>
        <v>2019</v>
      </c>
      <c r="BR6" s="32">
        <v>199.0</v>
      </c>
      <c r="BS6" s="30">
        <v>53.0</v>
      </c>
      <c r="BT6" s="31">
        <v>2659.0</v>
      </c>
      <c r="BU6" s="24">
        <f t="shared" si="14"/>
        <v>2911</v>
      </c>
    </row>
    <row r="7" ht="21.0" customHeight="1">
      <c r="A7" s="34" t="s">
        <v>74</v>
      </c>
      <c r="B7" s="33">
        <v>1745.0</v>
      </c>
      <c r="C7" s="30">
        <v>161.0</v>
      </c>
      <c r="D7" s="31">
        <v>43.0</v>
      </c>
      <c r="E7" s="28">
        <f t="shared" si="1"/>
        <v>1949</v>
      </c>
      <c r="F7" s="30">
        <v>254.0</v>
      </c>
      <c r="G7" s="30">
        <v>301.0</v>
      </c>
      <c r="H7" s="30">
        <v>290.0</v>
      </c>
      <c r="I7" s="30">
        <v>280.0</v>
      </c>
      <c r="J7" s="30">
        <v>275.0</v>
      </c>
      <c r="K7" s="30">
        <v>276.0</v>
      </c>
      <c r="L7" s="31">
        <v>273.0</v>
      </c>
      <c r="M7" s="24">
        <f t="shared" si="2"/>
        <v>1949</v>
      </c>
      <c r="N7" s="30">
        <v>1155.0</v>
      </c>
      <c r="O7" s="31">
        <v>794.0</v>
      </c>
      <c r="P7" s="24">
        <f t="shared" si="3"/>
        <v>1949</v>
      </c>
      <c r="Q7" s="30">
        <v>875.0</v>
      </c>
      <c r="R7" s="31">
        <v>1074.0</v>
      </c>
      <c r="S7" s="24">
        <f t="shared" si="4"/>
        <v>1949</v>
      </c>
      <c r="T7" s="30">
        <v>1609.0</v>
      </c>
      <c r="U7" s="30">
        <v>781.0</v>
      </c>
      <c r="V7" s="30">
        <v>8.0</v>
      </c>
      <c r="W7" s="30">
        <v>812.0</v>
      </c>
      <c r="X7" s="30">
        <v>297.0</v>
      </c>
      <c r="Y7" s="30">
        <v>49.0</v>
      </c>
      <c r="Z7" s="31">
        <v>194.0</v>
      </c>
      <c r="AA7" s="24">
        <f t="shared" si="5"/>
        <v>3750</v>
      </c>
      <c r="AB7" s="30">
        <v>381.0</v>
      </c>
      <c r="AC7" s="30">
        <v>1976.0</v>
      </c>
      <c r="AD7" s="30">
        <v>953.0</v>
      </c>
      <c r="AE7" s="30">
        <v>473.0</v>
      </c>
      <c r="AF7" s="30">
        <v>67.0</v>
      </c>
      <c r="AG7" s="24">
        <f t="shared" si="6"/>
        <v>3850</v>
      </c>
      <c r="AH7" s="30">
        <v>2648.0</v>
      </c>
      <c r="AI7" s="30">
        <v>1202.0</v>
      </c>
      <c r="AJ7" s="24">
        <f t="shared" si="7"/>
        <v>3850</v>
      </c>
      <c r="AK7" s="30">
        <v>2489.0</v>
      </c>
      <c r="AL7" s="30">
        <v>1361.0</v>
      </c>
      <c r="AM7" s="24">
        <f t="shared" si="8"/>
        <v>3850</v>
      </c>
      <c r="AN7" s="30">
        <v>3520.0</v>
      </c>
      <c r="AO7" s="31">
        <v>330.0</v>
      </c>
      <c r="AP7" s="24">
        <f t="shared" si="9"/>
        <v>3850</v>
      </c>
      <c r="AQ7" s="30">
        <v>2965.0</v>
      </c>
      <c r="AR7" s="30">
        <v>292.0</v>
      </c>
      <c r="AS7" s="30">
        <v>19.0</v>
      </c>
      <c r="AT7" s="30">
        <v>5.0</v>
      </c>
      <c r="AU7" s="31">
        <v>569.0</v>
      </c>
      <c r="AV7" s="24">
        <f t="shared" si="15"/>
        <v>3850</v>
      </c>
      <c r="AW7" s="29">
        <f t="shared" si="10"/>
        <v>569</v>
      </c>
      <c r="AX7" s="30">
        <v>2952.0</v>
      </c>
      <c r="AY7" s="31">
        <v>329.0</v>
      </c>
      <c r="AZ7" s="24">
        <f t="shared" si="11"/>
        <v>3850</v>
      </c>
      <c r="BA7" s="30">
        <v>1057.0</v>
      </c>
      <c r="BB7" s="30">
        <v>189.0</v>
      </c>
      <c r="BC7" s="30">
        <v>38.0</v>
      </c>
      <c r="BD7" s="30">
        <v>0.0</v>
      </c>
      <c r="BE7" s="30">
        <v>0.0</v>
      </c>
      <c r="BF7" s="30">
        <v>232.0</v>
      </c>
      <c r="BG7" s="30">
        <v>301.0</v>
      </c>
      <c r="BH7" s="31">
        <v>132.0</v>
      </c>
      <c r="BI7" s="24">
        <f t="shared" si="12"/>
        <v>1949</v>
      </c>
      <c r="BJ7" s="30">
        <v>218.0</v>
      </c>
      <c r="BK7" s="30">
        <v>251.0</v>
      </c>
      <c r="BL7" s="30">
        <v>29.0</v>
      </c>
      <c r="BM7" s="30">
        <v>29.0</v>
      </c>
      <c r="BN7" s="30">
        <v>516.0</v>
      </c>
      <c r="BO7" s="30">
        <v>0.0</v>
      </c>
      <c r="BP7" s="31">
        <v>906.0</v>
      </c>
      <c r="BQ7" s="24">
        <f t="shared" si="13"/>
        <v>1949</v>
      </c>
      <c r="BR7" s="32">
        <v>176.0</v>
      </c>
      <c r="BS7" s="30">
        <v>54.0</v>
      </c>
      <c r="BT7" s="31">
        <v>3744.0</v>
      </c>
      <c r="BU7" s="24">
        <f t="shared" si="14"/>
        <v>3974</v>
      </c>
    </row>
    <row r="8" ht="21.0" customHeight="1">
      <c r="A8" s="24" t="s">
        <v>75</v>
      </c>
      <c r="B8" s="33">
        <v>2207.0</v>
      </c>
      <c r="C8" s="30">
        <v>105.0</v>
      </c>
      <c r="D8" s="31">
        <v>30.0</v>
      </c>
      <c r="E8" s="28">
        <f t="shared" si="1"/>
        <v>2342</v>
      </c>
      <c r="F8" s="30">
        <v>195.0</v>
      </c>
      <c r="G8" s="30">
        <v>388.0</v>
      </c>
      <c r="H8" s="30">
        <v>310.0</v>
      </c>
      <c r="I8" s="30">
        <v>350.0</v>
      </c>
      <c r="J8" s="30">
        <v>340.0</v>
      </c>
      <c r="K8" s="30">
        <v>374.0</v>
      </c>
      <c r="L8" s="31">
        <v>385.0</v>
      </c>
      <c r="M8" s="24">
        <f t="shared" si="2"/>
        <v>2342</v>
      </c>
      <c r="N8" s="30">
        <v>1428.0</v>
      </c>
      <c r="O8" s="31">
        <v>914.0</v>
      </c>
      <c r="P8" s="24">
        <f t="shared" si="3"/>
        <v>2342</v>
      </c>
      <c r="Q8" s="30">
        <v>823.0</v>
      </c>
      <c r="R8" s="31">
        <v>1519.0</v>
      </c>
      <c r="S8" s="24">
        <f t="shared" si="4"/>
        <v>2342</v>
      </c>
      <c r="T8" s="30">
        <v>1976.0</v>
      </c>
      <c r="U8" s="30">
        <v>368.0</v>
      </c>
      <c r="V8" s="30">
        <v>12.0</v>
      </c>
      <c r="W8" s="30">
        <v>324.0</v>
      </c>
      <c r="X8" s="30">
        <v>244.0</v>
      </c>
      <c r="Y8" s="30">
        <v>66.0</v>
      </c>
      <c r="Z8" s="31">
        <v>173.0</v>
      </c>
      <c r="AA8" s="24">
        <f t="shared" si="5"/>
        <v>3163</v>
      </c>
      <c r="AB8" s="30">
        <v>366.0</v>
      </c>
      <c r="AC8" s="30">
        <v>1326.0</v>
      </c>
      <c r="AD8" s="30">
        <v>862.0</v>
      </c>
      <c r="AE8" s="30">
        <v>323.0</v>
      </c>
      <c r="AF8" s="30">
        <v>286.0</v>
      </c>
      <c r="AG8" s="24">
        <f t="shared" si="6"/>
        <v>3163</v>
      </c>
      <c r="AH8" s="30">
        <v>2237.0</v>
      </c>
      <c r="AI8" s="30">
        <v>926.0</v>
      </c>
      <c r="AJ8" s="24">
        <f t="shared" si="7"/>
        <v>3163</v>
      </c>
      <c r="AK8" s="30">
        <v>1447.0</v>
      </c>
      <c r="AL8" s="30">
        <v>1716.0</v>
      </c>
      <c r="AM8" s="24">
        <f t="shared" si="8"/>
        <v>3163</v>
      </c>
      <c r="AN8" s="30">
        <v>3044.0</v>
      </c>
      <c r="AO8" s="31">
        <v>119.0</v>
      </c>
      <c r="AP8" s="24">
        <f t="shared" si="9"/>
        <v>3163</v>
      </c>
      <c r="AQ8" s="30">
        <v>2130.0</v>
      </c>
      <c r="AR8" s="30">
        <v>421.0</v>
      </c>
      <c r="AS8" s="30">
        <v>0.0</v>
      </c>
      <c r="AT8" s="30">
        <v>3.0</v>
      </c>
      <c r="AU8" s="31">
        <v>609.0</v>
      </c>
      <c r="AV8" s="24">
        <f t="shared" si="15"/>
        <v>3163</v>
      </c>
      <c r="AW8" s="29">
        <f t="shared" si="10"/>
        <v>609</v>
      </c>
      <c r="AX8" s="30">
        <v>2439.0</v>
      </c>
      <c r="AY8" s="31">
        <v>115.0</v>
      </c>
      <c r="AZ8" s="24">
        <f t="shared" si="11"/>
        <v>3163</v>
      </c>
      <c r="BA8" s="30">
        <v>1457.0</v>
      </c>
      <c r="BB8" s="30">
        <v>280.0</v>
      </c>
      <c r="BC8" s="30">
        <v>23.0</v>
      </c>
      <c r="BD8" s="30">
        <v>0.0</v>
      </c>
      <c r="BE8" s="30">
        <v>2.0</v>
      </c>
      <c r="BF8" s="30">
        <v>131.0</v>
      </c>
      <c r="BG8" s="30">
        <v>137.0</v>
      </c>
      <c r="BH8" s="31">
        <v>312.0</v>
      </c>
      <c r="BI8" s="24">
        <f t="shared" si="12"/>
        <v>2342</v>
      </c>
      <c r="BJ8" s="30">
        <v>266.0</v>
      </c>
      <c r="BK8" s="30">
        <v>156.0</v>
      </c>
      <c r="BL8" s="30">
        <v>214.0</v>
      </c>
      <c r="BM8" s="30">
        <v>67.0</v>
      </c>
      <c r="BN8" s="30">
        <v>966.0</v>
      </c>
      <c r="BO8" s="30">
        <v>0.0</v>
      </c>
      <c r="BP8" s="31">
        <v>673.0</v>
      </c>
      <c r="BQ8" s="24">
        <f t="shared" si="13"/>
        <v>2342</v>
      </c>
      <c r="BR8" s="32">
        <v>195.0</v>
      </c>
      <c r="BS8" s="30">
        <v>36.0</v>
      </c>
      <c r="BT8" s="31">
        <v>3138.0</v>
      </c>
      <c r="BU8" s="24">
        <f t="shared" si="14"/>
        <v>3369</v>
      </c>
    </row>
    <row r="9" ht="21.0" customHeight="1">
      <c r="A9" s="24" t="s">
        <v>76</v>
      </c>
      <c r="B9" s="33">
        <v>2016.0</v>
      </c>
      <c r="C9" s="30">
        <v>118.0</v>
      </c>
      <c r="D9" s="31">
        <v>38.0</v>
      </c>
      <c r="E9" s="28">
        <f t="shared" si="1"/>
        <v>2172</v>
      </c>
      <c r="F9" s="30">
        <v>295.0</v>
      </c>
      <c r="G9" s="30">
        <v>320.0</v>
      </c>
      <c r="H9" s="30">
        <v>321.0</v>
      </c>
      <c r="I9" s="30">
        <v>350.0</v>
      </c>
      <c r="J9" s="30">
        <v>310.0</v>
      </c>
      <c r="K9" s="30">
        <v>305.0</v>
      </c>
      <c r="L9" s="31">
        <v>271.0</v>
      </c>
      <c r="M9" s="24">
        <f t="shared" si="2"/>
        <v>2172</v>
      </c>
      <c r="N9" s="30">
        <v>1352.0</v>
      </c>
      <c r="O9" s="31">
        <v>820.0</v>
      </c>
      <c r="P9" s="24">
        <f t="shared" si="3"/>
        <v>2172</v>
      </c>
      <c r="Q9" s="30">
        <v>710.0</v>
      </c>
      <c r="R9" s="31">
        <v>1462.0</v>
      </c>
      <c r="S9" s="24">
        <f t="shared" si="4"/>
        <v>2172</v>
      </c>
      <c r="T9" s="30">
        <v>1900.0</v>
      </c>
      <c r="U9" s="30">
        <v>286.0</v>
      </c>
      <c r="V9" s="30">
        <v>8.0</v>
      </c>
      <c r="W9" s="30">
        <v>430.0</v>
      </c>
      <c r="X9" s="30">
        <v>442.0</v>
      </c>
      <c r="Y9" s="30">
        <v>71.0</v>
      </c>
      <c r="Z9" s="31">
        <v>173.0</v>
      </c>
      <c r="AA9" s="24">
        <f t="shared" si="5"/>
        <v>3310</v>
      </c>
      <c r="AB9" s="30">
        <v>393.0</v>
      </c>
      <c r="AC9" s="30">
        <v>1410.0</v>
      </c>
      <c r="AD9" s="30">
        <v>905.0</v>
      </c>
      <c r="AE9" s="30">
        <v>411.0</v>
      </c>
      <c r="AF9" s="30">
        <v>191.0</v>
      </c>
      <c r="AG9" s="24">
        <f t="shared" si="6"/>
        <v>3310</v>
      </c>
      <c r="AH9" s="30">
        <v>2310.0</v>
      </c>
      <c r="AI9" s="30">
        <v>1000.0</v>
      </c>
      <c r="AJ9" s="24">
        <f t="shared" si="7"/>
        <v>3310</v>
      </c>
      <c r="AK9" s="30">
        <v>1544.0</v>
      </c>
      <c r="AL9" s="30">
        <v>1766.0</v>
      </c>
      <c r="AM9" s="24">
        <f t="shared" si="8"/>
        <v>3310</v>
      </c>
      <c r="AN9" s="30">
        <v>3198.0</v>
      </c>
      <c r="AO9" s="31">
        <v>112.0</v>
      </c>
      <c r="AP9" s="24">
        <f t="shared" si="9"/>
        <v>3310</v>
      </c>
      <c r="AQ9" s="30">
        <v>2240.0</v>
      </c>
      <c r="AR9" s="30">
        <v>521.0</v>
      </c>
      <c r="AS9" s="30">
        <v>0.0</v>
      </c>
      <c r="AT9" s="30">
        <v>5.0</v>
      </c>
      <c r="AU9" s="31">
        <v>544.0</v>
      </c>
      <c r="AV9" s="24">
        <f t="shared" si="15"/>
        <v>3310</v>
      </c>
      <c r="AW9" s="29">
        <f t="shared" si="10"/>
        <v>544</v>
      </c>
      <c r="AX9" s="30">
        <v>2524.0</v>
      </c>
      <c r="AY9" s="31">
        <v>242.0</v>
      </c>
      <c r="AZ9" s="24">
        <f t="shared" si="11"/>
        <v>3310</v>
      </c>
      <c r="BA9" s="30">
        <v>1326.0</v>
      </c>
      <c r="BB9" s="30">
        <v>260.0</v>
      </c>
      <c r="BC9" s="30">
        <v>26.0</v>
      </c>
      <c r="BD9" s="30">
        <v>0.0</v>
      </c>
      <c r="BE9" s="30">
        <v>1.0</v>
      </c>
      <c r="BF9" s="30">
        <v>139.0</v>
      </c>
      <c r="BG9" s="30">
        <v>127.0</v>
      </c>
      <c r="BH9" s="31">
        <v>293.0</v>
      </c>
      <c r="BI9" s="24">
        <f t="shared" si="12"/>
        <v>2172</v>
      </c>
      <c r="BJ9" s="30">
        <v>224.0</v>
      </c>
      <c r="BK9" s="30">
        <v>147.0</v>
      </c>
      <c r="BL9" s="30">
        <v>199.0</v>
      </c>
      <c r="BM9" s="30">
        <v>18.0</v>
      </c>
      <c r="BN9" s="30">
        <v>822.0</v>
      </c>
      <c r="BO9" s="30">
        <v>0.0</v>
      </c>
      <c r="BP9" s="31">
        <v>762.0</v>
      </c>
      <c r="BQ9" s="24">
        <f t="shared" si="13"/>
        <v>2172</v>
      </c>
      <c r="BR9" s="32">
        <v>239.0</v>
      </c>
      <c r="BS9" s="30">
        <v>42.0</v>
      </c>
      <c r="BT9" s="31">
        <v>3123.0</v>
      </c>
      <c r="BU9" s="24">
        <f t="shared" si="14"/>
        <v>3404</v>
      </c>
    </row>
    <row r="10" ht="21.0" customHeight="1">
      <c r="A10" s="24" t="s">
        <v>77</v>
      </c>
      <c r="B10" s="33">
        <v>2049.0</v>
      </c>
      <c r="C10" s="30">
        <v>100.0</v>
      </c>
      <c r="D10" s="31">
        <v>31.0</v>
      </c>
      <c r="E10" s="28">
        <f t="shared" si="1"/>
        <v>2180</v>
      </c>
      <c r="F10" s="30">
        <v>210.0</v>
      </c>
      <c r="G10" s="30">
        <v>350.0</v>
      </c>
      <c r="H10" s="30">
        <v>443.0</v>
      </c>
      <c r="I10" s="30">
        <v>369.0</v>
      </c>
      <c r="J10" s="30">
        <v>256.0</v>
      </c>
      <c r="K10" s="30">
        <v>364.0</v>
      </c>
      <c r="L10" s="31">
        <v>188.0</v>
      </c>
      <c r="M10" s="24">
        <f t="shared" si="2"/>
        <v>2180</v>
      </c>
      <c r="N10" s="30">
        <v>1256.0</v>
      </c>
      <c r="O10" s="31">
        <v>924.0</v>
      </c>
      <c r="P10" s="24">
        <f t="shared" si="3"/>
        <v>2180</v>
      </c>
      <c r="Q10" s="30">
        <v>875.0</v>
      </c>
      <c r="R10" s="31">
        <v>1305.0</v>
      </c>
      <c r="S10" s="24">
        <f t="shared" si="4"/>
        <v>2180</v>
      </c>
      <c r="T10" s="30">
        <v>2001.0</v>
      </c>
      <c r="U10" s="30">
        <v>934.0</v>
      </c>
      <c r="V10" s="30">
        <v>21.0</v>
      </c>
      <c r="W10" s="30">
        <v>510.0</v>
      </c>
      <c r="X10" s="30">
        <v>112.0</v>
      </c>
      <c r="Y10" s="30">
        <v>61.0</v>
      </c>
      <c r="Z10" s="31">
        <v>211.0</v>
      </c>
      <c r="AA10" s="24">
        <f t="shared" si="5"/>
        <v>3850</v>
      </c>
      <c r="AB10" s="30">
        <v>260.0</v>
      </c>
      <c r="AC10" s="30">
        <v>1170.0</v>
      </c>
      <c r="AD10" s="30">
        <v>1511.0</v>
      </c>
      <c r="AE10" s="30">
        <v>611.0</v>
      </c>
      <c r="AF10" s="30">
        <v>298.0</v>
      </c>
      <c r="AG10" s="24">
        <f t="shared" si="6"/>
        <v>3850</v>
      </c>
      <c r="AH10" s="30">
        <v>2567.0</v>
      </c>
      <c r="AI10" s="30">
        <v>1283.0</v>
      </c>
      <c r="AJ10" s="24">
        <f t="shared" si="7"/>
        <v>3850</v>
      </c>
      <c r="AK10" s="30">
        <v>2205.0</v>
      </c>
      <c r="AL10" s="30">
        <v>1645.0</v>
      </c>
      <c r="AM10" s="24">
        <f t="shared" si="8"/>
        <v>3850</v>
      </c>
      <c r="AN10" s="30">
        <v>3427.0</v>
      </c>
      <c r="AO10" s="31">
        <v>423.0</v>
      </c>
      <c r="AP10" s="24">
        <f t="shared" si="9"/>
        <v>3850</v>
      </c>
      <c r="AQ10" s="30">
        <v>2490.0</v>
      </c>
      <c r="AR10" s="30">
        <v>514.0</v>
      </c>
      <c r="AS10" s="30">
        <v>0.0</v>
      </c>
      <c r="AT10" s="30">
        <v>8.0</v>
      </c>
      <c r="AU10" s="31">
        <v>838.0</v>
      </c>
      <c r="AV10" s="24">
        <f t="shared" si="15"/>
        <v>3850</v>
      </c>
      <c r="AW10" s="29">
        <f t="shared" si="10"/>
        <v>838</v>
      </c>
      <c r="AX10" s="30">
        <v>2120.0</v>
      </c>
      <c r="AY10" s="31">
        <v>892.0</v>
      </c>
      <c r="AZ10" s="24">
        <f t="shared" si="11"/>
        <v>3850</v>
      </c>
      <c r="BA10" s="30">
        <v>1602.0</v>
      </c>
      <c r="BB10" s="30">
        <v>212.0</v>
      </c>
      <c r="BC10" s="30">
        <v>37.0</v>
      </c>
      <c r="BD10" s="30">
        <v>1.0</v>
      </c>
      <c r="BE10" s="30">
        <v>0.0</v>
      </c>
      <c r="BF10" s="30">
        <v>177.0</v>
      </c>
      <c r="BG10" s="30">
        <v>114.0</v>
      </c>
      <c r="BH10" s="31">
        <v>37.0</v>
      </c>
      <c r="BI10" s="24">
        <f t="shared" si="12"/>
        <v>2180</v>
      </c>
      <c r="BJ10" s="30">
        <v>210.0</v>
      </c>
      <c r="BK10" s="30">
        <v>199.0</v>
      </c>
      <c r="BL10" s="30">
        <v>245.0</v>
      </c>
      <c r="BM10" s="30">
        <v>16.0</v>
      </c>
      <c r="BN10" s="30">
        <v>652.0</v>
      </c>
      <c r="BO10" s="30">
        <v>0.0</v>
      </c>
      <c r="BP10" s="31">
        <v>858.0</v>
      </c>
      <c r="BQ10" s="24">
        <f t="shared" si="13"/>
        <v>2180</v>
      </c>
      <c r="BR10" s="32">
        <v>170.0</v>
      </c>
      <c r="BS10" s="30">
        <v>38.0</v>
      </c>
      <c r="BT10" s="31">
        <v>3804.0</v>
      </c>
      <c r="BU10" s="24">
        <f t="shared" si="14"/>
        <v>4012</v>
      </c>
    </row>
    <row r="11" ht="21.0" customHeight="1">
      <c r="A11" s="24" t="s">
        <v>78</v>
      </c>
      <c r="B11" s="33">
        <v>2116.0</v>
      </c>
      <c r="C11" s="30">
        <v>90.0</v>
      </c>
      <c r="D11" s="31">
        <v>37.0</v>
      </c>
      <c r="E11" s="28">
        <f t="shared" si="1"/>
        <v>2243</v>
      </c>
      <c r="F11" s="30">
        <v>338.0</v>
      </c>
      <c r="G11" s="30">
        <v>341.0</v>
      </c>
      <c r="H11" s="30">
        <v>307.0</v>
      </c>
      <c r="I11" s="30">
        <v>343.0</v>
      </c>
      <c r="J11" s="30">
        <v>298.0</v>
      </c>
      <c r="K11" s="30">
        <v>312.0</v>
      </c>
      <c r="L11" s="31">
        <v>304.0</v>
      </c>
      <c r="M11" s="24">
        <f t="shared" si="2"/>
        <v>2243</v>
      </c>
      <c r="N11" s="30">
        <v>1412.0</v>
      </c>
      <c r="O11" s="31">
        <v>831.0</v>
      </c>
      <c r="P11" s="24">
        <f t="shared" si="3"/>
        <v>2243</v>
      </c>
      <c r="Q11" s="30">
        <v>830.0</v>
      </c>
      <c r="R11" s="31">
        <v>1413.0</v>
      </c>
      <c r="S11" s="24">
        <f t="shared" si="4"/>
        <v>2243</v>
      </c>
      <c r="T11" s="30">
        <v>1891.0</v>
      </c>
      <c r="U11" s="30">
        <v>281.0</v>
      </c>
      <c r="V11" s="30">
        <v>6.0</v>
      </c>
      <c r="W11" s="30">
        <v>420.0</v>
      </c>
      <c r="X11" s="30">
        <v>442.0</v>
      </c>
      <c r="Y11" s="30">
        <v>71.0</v>
      </c>
      <c r="Z11" s="31">
        <v>173.0</v>
      </c>
      <c r="AA11" s="24">
        <f t="shared" si="5"/>
        <v>3284</v>
      </c>
      <c r="AB11" s="30">
        <v>393.0</v>
      </c>
      <c r="AC11" s="30">
        <v>1312.0</v>
      </c>
      <c r="AD11" s="30">
        <v>924.0</v>
      </c>
      <c r="AE11" s="30">
        <v>420.0</v>
      </c>
      <c r="AF11" s="30">
        <v>235.0</v>
      </c>
      <c r="AG11" s="24">
        <f t="shared" si="6"/>
        <v>3284</v>
      </c>
      <c r="AH11" s="30">
        <v>2361.0</v>
      </c>
      <c r="AI11" s="30">
        <v>923.0</v>
      </c>
      <c r="AJ11" s="24">
        <f t="shared" si="7"/>
        <v>3284</v>
      </c>
      <c r="AK11" s="30">
        <v>1669.0</v>
      </c>
      <c r="AL11" s="30">
        <v>1615.0</v>
      </c>
      <c r="AM11" s="24">
        <f t="shared" si="8"/>
        <v>3284</v>
      </c>
      <c r="AN11" s="30">
        <v>3068.0</v>
      </c>
      <c r="AO11" s="31">
        <v>216.0</v>
      </c>
      <c r="AP11" s="24">
        <f t="shared" si="9"/>
        <v>3284</v>
      </c>
      <c r="AQ11" s="30">
        <v>2267.0</v>
      </c>
      <c r="AR11" s="30">
        <v>403.0</v>
      </c>
      <c r="AS11" s="30">
        <v>0.0</v>
      </c>
      <c r="AT11" s="30">
        <v>7.0</v>
      </c>
      <c r="AU11" s="31">
        <v>607.0</v>
      </c>
      <c r="AV11" s="24">
        <f t="shared" si="15"/>
        <v>3284</v>
      </c>
      <c r="AW11" s="29">
        <f t="shared" si="10"/>
        <v>607</v>
      </c>
      <c r="AX11" s="30">
        <v>2426.0</v>
      </c>
      <c r="AY11" s="31">
        <v>251.0</v>
      </c>
      <c r="AZ11" s="24">
        <f t="shared" si="11"/>
        <v>3284</v>
      </c>
      <c r="BA11" s="30">
        <v>1269.0</v>
      </c>
      <c r="BB11" s="30">
        <v>350.0</v>
      </c>
      <c r="BC11" s="30">
        <v>29.0</v>
      </c>
      <c r="BD11" s="30">
        <v>2.0</v>
      </c>
      <c r="BE11" s="30">
        <v>0.0</v>
      </c>
      <c r="BF11" s="30">
        <v>124.0</v>
      </c>
      <c r="BG11" s="30">
        <v>121.0</v>
      </c>
      <c r="BH11" s="31">
        <v>348.0</v>
      </c>
      <c r="BI11" s="24">
        <f t="shared" si="12"/>
        <v>2243</v>
      </c>
      <c r="BJ11" s="30">
        <v>256.0</v>
      </c>
      <c r="BK11" s="30">
        <v>247.0</v>
      </c>
      <c r="BL11" s="30">
        <v>205.0</v>
      </c>
      <c r="BM11" s="30">
        <v>23.0</v>
      </c>
      <c r="BN11" s="30">
        <v>612.0</v>
      </c>
      <c r="BO11" s="30">
        <v>0.0</v>
      </c>
      <c r="BP11" s="31">
        <v>900.0</v>
      </c>
      <c r="BQ11" s="42">
        <f t="shared" si="13"/>
        <v>2243</v>
      </c>
      <c r="BR11" s="32">
        <v>162.0</v>
      </c>
      <c r="BS11" s="30">
        <v>40.0</v>
      </c>
      <c r="BT11" s="31">
        <v>3312.0</v>
      </c>
      <c r="BU11" s="24">
        <f t="shared" si="14"/>
        <v>3514</v>
      </c>
    </row>
    <row r="12" ht="21.0" customHeight="1">
      <c r="A12" s="24" t="s">
        <v>79</v>
      </c>
      <c r="B12" s="33">
        <v>2028.0</v>
      </c>
      <c r="C12" s="30">
        <v>91.0</v>
      </c>
      <c r="D12" s="31">
        <v>23.0</v>
      </c>
      <c r="E12" s="28">
        <f t="shared" si="1"/>
        <v>2142</v>
      </c>
      <c r="F12" s="30">
        <v>215.0</v>
      </c>
      <c r="G12" s="30">
        <v>285.0</v>
      </c>
      <c r="H12" s="30">
        <v>218.0</v>
      </c>
      <c r="I12" s="30">
        <v>292.0</v>
      </c>
      <c r="J12" s="30">
        <v>365.0</v>
      </c>
      <c r="K12" s="30">
        <v>419.0</v>
      </c>
      <c r="L12" s="31">
        <v>348.0</v>
      </c>
      <c r="M12" s="24">
        <f t="shared" si="2"/>
        <v>2142</v>
      </c>
      <c r="N12" s="30">
        <v>1174.0</v>
      </c>
      <c r="O12" s="31">
        <v>968.0</v>
      </c>
      <c r="P12" s="24">
        <f t="shared" si="3"/>
        <v>2142</v>
      </c>
      <c r="Q12" s="30">
        <v>913.0</v>
      </c>
      <c r="R12" s="31">
        <v>1229.0</v>
      </c>
      <c r="S12" s="24">
        <f t="shared" si="4"/>
        <v>2142</v>
      </c>
      <c r="T12" s="30">
        <v>1885.0</v>
      </c>
      <c r="U12" s="30">
        <v>281.0</v>
      </c>
      <c r="V12" s="30">
        <v>1.0</v>
      </c>
      <c r="W12" s="30">
        <v>427.0</v>
      </c>
      <c r="X12" s="30">
        <v>237.0</v>
      </c>
      <c r="Y12" s="30">
        <v>66.0</v>
      </c>
      <c r="Z12" s="31">
        <v>378.0</v>
      </c>
      <c r="AA12" s="24">
        <f t="shared" si="5"/>
        <v>3275</v>
      </c>
      <c r="AB12" s="30">
        <v>326.0</v>
      </c>
      <c r="AC12" s="30">
        <v>1393.0</v>
      </c>
      <c r="AD12" s="30">
        <v>975.0</v>
      </c>
      <c r="AE12" s="30">
        <v>392.0</v>
      </c>
      <c r="AF12" s="30">
        <v>189.0</v>
      </c>
      <c r="AG12" s="24">
        <f t="shared" si="6"/>
        <v>3275</v>
      </c>
      <c r="AH12" s="30">
        <v>2161.0</v>
      </c>
      <c r="AI12" s="30">
        <v>1114.0</v>
      </c>
      <c r="AJ12" s="24">
        <f t="shared" si="7"/>
        <v>3275</v>
      </c>
      <c r="AK12" s="30">
        <v>1378.0</v>
      </c>
      <c r="AL12" s="30">
        <v>1897.0</v>
      </c>
      <c r="AM12" s="24">
        <f t="shared" si="8"/>
        <v>3275</v>
      </c>
      <c r="AN12" s="30">
        <v>3066.0</v>
      </c>
      <c r="AO12" s="31">
        <v>209.0</v>
      </c>
      <c r="AP12" s="24">
        <f t="shared" si="9"/>
        <v>3275</v>
      </c>
      <c r="AQ12" s="30">
        <v>2001.0</v>
      </c>
      <c r="AR12" s="30">
        <v>656.0</v>
      </c>
      <c r="AS12" s="30">
        <v>0.0</v>
      </c>
      <c r="AT12" s="30">
        <v>0.0</v>
      </c>
      <c r="AU12" s="31">
        <v>618.0</v>
      </c>
      <c r="AV12" s="24">
        <f t="shared" si="15"/>
        <v>3275</v>
      </c>
      <c r="AW12" s="29">
        <f t="shared" si="10"/>
        <v>618</v>
      </c>
      <c r="AX12" s="30">
        <v>2336.0</v>
      </c>
      <c r="AY12" s="31">
        <v>321.0</v>
      </c>
      <c r="AZ12" s="24">
        <f t="shared" si="11"/>
        <v>3275</v>
      </c>
      <c r="BA12" s="30">
        <v>1207.0</v>
      </c>
      <c r="BB12" s="30">
        <v>151.0</v>
      </c>
      <c r="BC12" s="30">
        <v>21.0</v>
      </c>
      <c r="BD12" s="30">
        <v>0.0</v>
      </c>
      <c r="BE12" s="30">
        <v>0.0</v>
      </c>
      <c r="BF12" s="30">
        <v>189.0</v>
      </c>
      <c r="BG12" s="30">
        <v>218.0</v>
      </c>
      <c r="BH12" s="31">
        <v>356.0</v>
      </c>
      <c r="BI12" s="24">
        <f t="shared" si="12"/>
        <v>2142</v>
      </c>
      <c r="BJ12" s="30">
        <v>219.0</v>
      </c>
      <c r="BK12" s="30">
        <v>134.0</v>
      </c>
      <c r="BL12" s="30">
        <v>197.0</v>
      </c>
      <c r="BM12" s="30">
        <v>13.0</v>
      </c>
      <c r="BN12" s="30">
        <v>723.0</v>
      </c>
      <c r="BO12" s="30">
        <v>0.0</v>
      </c>
      <c r="BP12" s="31">
        <v>856.0</v>
      </c>
      <c r="BQ12" s="24">
        <f t="shared" si="13"/>
        <v>2142</v>
      </c>
      <c r="BR12" s="32">
        <v>155.0</v>
      </c>
      <c r="BS12" s="30">
        <v>35.0</v>
      </c>
      <c r="BT12" s="31">
        <v>3235.0</v>
      </c>
      <c r="BU12" s="24">
        <f t="shared" si="14"/>
        <v>3425</v>
      </c>
    </row>
    <row r="13" ht="21.0" customHeight="1">
      <c r="A13" s="24" t="s">
        <v>80</v>
      </c>
      <c r="B13" s="35">
        <v>2032.0</v>
      </c>
      <c r="C13" s="36">
        <v>89.0</v>
      </c>
      <c r="D13" s="37">
        <v>39.0</v>
      </c>
      <c r="E13" s="28">
        <f t="shared" si="1"/>
        <v>2160</v>
      </c>
      <c r="F13" s="36">
        <v>361.0</v>
      </c>
      <c r="G13" s="36">
        <v>358.0</v>
      </c>
      <c r="H13" s="36">
        <v>301.0</v>
      </c>
      <c r="I13" s="36">
        <v>275.0</v>
      </c>
      <c r="J13" s="36">
        <v>298.0</v>
      </c>
      <c r="K13" s="36">
        <v>266.0</v>
      </c>
      <c r="L13" s="37">
        <v>301.0</v>
      </c>
      <c r="M13" s="24">
        <f t="shared" si="2"/>
        <v>2160</v>
      </c>
      <c r="N13" s="36">
        <v>1245.0</v>
      </c>
      <c r="O13" s="37">
        <v>915.0</v>
      </c>
      <c r="P13" s="24">
        <f t="shared" si="3"/>
        <v>2160</v>
      </c>
      <c r="Q13" s="30">
        <v>972.0</v>
      </c>
      <c r="R13" s="31">
        <v>1188.0</v>
      </c>
      <c r="S13" s="24">
        <f t="shared" si="4"/>
        <v>2160</v>
      </c>
      <c r="T13" s="30">
        <v>1609.0</v>
      </c>
      <c r="U13" s="30">
        <v>781.0</v>
      </c>
      <c r="V13" s="30">
        <v>8.0</v>
      </c>
      <c r="W13" s="30">
        <v>812.0</v>
      </c>
      <c r="X13" s="30">
        <v>297.0</v>
      </c>
      <c r="Y13" s="30">
        <v>49.0</v>
      </c>
      <c r="Z13" s="31">
        <v>149.0</v>
      </c>
      <c r="AA13" s="24">
        <f t="shared" si="5"/>
        <v>3705</v>
      </c>
      <c r="AB13" s="30">
        <v>67.0</v>
      </c>
      <c r="AC13" s="30">
        <v>1651.0</v>
      </c>
      <c r="AD13" s="30">
        <v>841.0</v>
      </c>
      <c r="AE13" s="30">
        <v>410.0</v>
      </c>
      <c r="AF13" s="30">
        <v>736.0</v>
      </c>
      <c r="AG13" s="24">
        <f t="shared" si="6"/>
        <v>3705</v>
      </c>
      <c r="AH13" s="30">
        <v>2620.0</v>
      </c>
      <c r="AI13" s="30">
        <v>1085.0</v>
      </c>
      <c r="AJ13" s="24">
        <f t="shared" si="7"/>
        <v>3705</v>
      </c>
      <c r="AK13" s="30">
        <v>2510.0</v>
      </c>
      <c r="AL13" s="30">
        <v>1195.0</v>
      </c>
      <c r="AM13" s="24">
        <f t="shared" si="8"/>
        <v>3705</v>
      </c>
      <c r="AN13" s="30">
        <v>3507.0</v>
      </c>
      <c r="AO13" s="31">
        <v>198.0</v>
      </c>
      <c r="AP13" s="24">
        <f t="shared" si="9"/>
        <v>3705</v>
      </c>
      <c r="AQ13" s="30">
        <v>2765.0</v>
      </c>
      <c r="AR13" s="30">
        <v>620.0</v>
      </c>
      <c r="AS13" s="30">
        <v>0.0</v>
      </c>
      <c r="AT13" s="30">
        <v>3.0</v>
      </c>
      <c r="AU13" s="31">
        <v>317.0</v>
      </c>
      <c r="AV13" s="24">
        <f t="shared" si="15"/>
        <v>3705</v>
      </c>
      <c r="AW13" s="29">
        <f t="shared" si="10"/>
        <v>317</v>
      </c>
      <c r="AX13" s="30">
        <v>3100.0</v>
      </c>
      <c r="AY13" s="31">
        <v>288.0</v>
      </c>
      <c r="AZ13" s="24">
        <f t="shared" si="11"/>
        <v>3705</v>
      </c>
      <c r="BA13" s="30">
        <v>1020.0</v>
      </c>
      <c r="BB13" s="30">
        <v>390.0</v>
      </c>
      <c r="BC13" s="30">
        <v>29.0</v>
      </c>
      <c r="BD13" s="30">
        <v>0.0</v>
      </c>
      <c r="BE13" s="30">
        <v>0.0</v>
      </c>
      <c r="BF13" s="30">
        <v>242.0</v>
      </c>
      <c r="BG13" s="30">
        <v>169.0</v>
      </c>
      <c r="BH13" s="31">
        <v>310.0</v>
      </c>
      <c r="BI13" s="24">
        <f t="shared" si="12"/>
        <v>2160</v>
      </c>
      <c r="BJ13" s="36">
        <v>316.0</v>
      </c>
      <c r="BK13" s="36">
        <v>214.0</v>
      </c>
      <c r="BL13" s="36">
        <v>296.0</v>
      </c>
      <c r="BM13" s="36">
        <v>39.0</v>
      </c>
      <c r="BN13" s="36">
        <v>614.0</v>
      </c>
      <c r="BO13" s="36">
        <v>0.0</v>
      </c>
      <c r="BP13" s="37">
        <v>681.0</v>
      </c>
      <c r="BQ13" s="38">
        <f t="shared" si="13"/>
        <v>2160</v>
      </c>
      <c r="BR13" s="39">
        <v>182.0</v>
      </c>
      <c r="BS13" s="36">
        <v>49.0</v>
      </c>
      <c r="BT13" s="37">
        <v>3484.0</v>
      </c>
      <c r="BU13" s="38">
        <f t="shared" si="14"/>
        <v>3715</v>
      </c>
    </row>
    <row r="14" ht="21.0" customHeight="1">
      <c r="A14" s="24" t="s">
        <v>47</v>
      </c>
      <c r="B14" s="40">
        <f t="shared" ref="B14:L14" si="16">SUM(B2:B13)</f>
        <v>24160</v>
      </c>
      <c r="C14" s="41">
        <f t="shared" si="16"/>
        <v>1301</v>
      </c>
      <c r="D14" s="41">
        <f t="shared" si="16"/>
        <v>412</v>
      </c>
      <c r="E14" s="42">
        <f t="shared" si="16"/>
        <v>25873</v>
      </c>
      <c r="F14" s="41">
        <f t="shared" si="16"/>
        <v>2852</v>
      </c>
      <c r="G14" s="41">
        <f t="shared" si="16"/>
        <v>4115</v>
      </c>
      <c r="H14" s="41">
        <f t="shared" si="16"/>
        <v>4126</v>
      </c>
      <c r="I14" s="41">
        <f t="shared" si="16"/>
        <v>4228</v>
      </c>
      <c r="J14" s="41">
        <f t="shared" si="16"/>
        <v>3822</v>
      </c>
      <c r="K14" s="41">
        <f t="shared" si="16"/>
        <v>3721</v>
      </c>
      <c r="L14" s="41">
        <f t="shared" si="16"/>
        <v>3009</v>
      </c>
      <c r="M14" s="24">
        <f t="shared" si="2"/>
        <v>25873</v>
      </c>
      <c r="N14" s="41">
        <f t="shared" ref="N14:BU14" si="17">SUM(N2:N13)</f>
        <v>14567</v>
      </c>
      <c r="O14" s="41">
        <f t="shared" si="17"/>
        <v>11306</v>
      </c>
      <c r="P14" s="24">
        <f t="shared" si="17"/>
        <v>25873</v>
      </c>
      <c r="Q14" s="41">
        <f t="shared" si="17"/>
        <v>10395</v>
      </c>
      <c r="R14" s="43">
        <f t="shared" si="17"/>
        <v>15478</v>
      </c>
      <c r="S14" s="24">
        <f t="shared" si="17"/>
        <v>25873</v>
      </c>
      <c r="T14" s="41">
        <f t="shared" si="17"/>
        <v>21962</v>
      </c>
      <c r="U14" s="41">
        <f t="shared" si="17"/>
        <v>8332</v>
      </c>
      <c r="V14" s="41">
        <f t="shared" si="17"/>
        <v>222</v>
      </c>
      <c r="W14" s="41">
        <f t="shared" si="17"/>
        <v>6067</v>
      </c>
      <c r="X14" s="41">
        <f t="shared" si="17"/>
        <v>2600</v>
      </c>
      <c r="Y14" s="41">
        <f t="shared" si="17"/>
        <v>672</v>
      </c>
      <c r="Z14" s="41">
        <f t="shared" si="17"/>
        <v>1860</v>
      </c>
      <c r="AA14" s="24">
        <f t="shared" si="17"/>
        <v>41715</v>
      </c>
      <c r="AB14" s="24">
        <f t="shared" si="17"/>
        <v>3923</v>
      </c>
      <c r="AC14" s="41">
        <f t="shared" si="17"/>
        <v>15945</v>
      </c>
      <c r="AD14" s="41">
        <f t="shared" si="17"/>
        <v>11859</v>
      </c>
      <c r="AE14" s="41">
        <f t="shared" si="17"/>
        <v>6331</v>
      </c>
      <c r="AF14" s="41">
        <f t="shared" si="17"/>
        <v>3757</v>
      </c>
      <c r="AG14" s="24">
        <f t="shared" si="17"/>
        <v>41815</v>
      </c>
      <c r="AH14" s="41">
        <f t="shared" si="17"/>
        <v>28975</v>
      </c>
      <c r="AI14" s="41">
        <f t="shared" si="17"/>
        <v>12840</v>
      </c>
      <c r="AJ14" s="24">
        <f t="shared" si="17"/>
        <v>41815</v>
      </c>
      <c r="AK14" s="41">
        <f t="shared" si="17"/>
        <v>23278</v>
      </c>
      <c r="AL14" s="41">
        <f t="shared" si="17"/>
        <v>18537</v>
      </c>
      <c r="AM14" s="24">
        <f t="shared" si="17"/>
        <v>41815</v>
      </c>
      <c r="AN14" s="41">
        <f t="shared" si="17"/>
        <v>39461</v>
      </c>
      <c r="AO14" s="43">
        <f t="shared" si="17"/>
        <v>2354</v>
      </c>
      <c r="AP14" s="24">
        <f t="shared" si="17"/>
        <v>41815</v>
      </c>
      <c r="AQ14" s="41">
        <f t="shared" si="17"/>
        <v>27466</v>
      </c>
      <c r="AR14" s="41">
        <f t="shared" si="17"/>
        <v>6453</v>
      </c>
      <c r="AS14" s="41">
        <f t="shared" si="17"/>
        <v>20</v>
      </c>
      <c r="AT14" s="41">
        <f t="shared" si="17"/>
        <v>58</v>
      </c>
      <c r="AU14" s="43">
        <f t="shared" si="17"/>
        <v>7818</v>
      </c>
      <c r="AV14" s="24">
        <f t="shared" si="17"/>
        <v>41815</v>
      </c>
      <c r="AW14" s="40">
        <f t="shared" si="17"/>
        <v>7818</v>
      </c>
      <c r="AX14" s="41">
        <f t="shared" si="17"/>
        <v>28911</v>
      </c>
      <c r="AY14" s="43">
        <f t="shared" si="17"/>
        <v>5086</v>
      </c>
      <c r="AZ14" s="24">
        <f t="shared" si="17"/>
        <v>41815</v>
      </c>
      <c r="BA14" s="44">
        <f t="shared" si="17"/>
        <v>15985</v>
      </c>
      <c r="BB14" s="44">
        <f t="shared" si="17"/>
        <v>3346</v>
      </c>
      <c r="BC14" s="44">
        <f t="shared" si="17"/>
        <v>380</v>
      </c>
      <c r="BD14" s="44">
        <f t="shared" si="17"/>
        <v>7</v>
      </c>
      <c r="BE14" s="44">
        <f t="shared" si="17"/>
        <v>5</v>
      </c>
      <c r="BF14" s="44">
        <f t="shared" si="17"/>
        <v>1900</v>
      </c>
      <c r="BG14" s="44">
        <f t="shared" si="17"/>
        <v>1874</v>
      </c>
      <c r="BH14" s="44">
        <f t="shared" si="17"/>
        <v>2376</v>
      </c>
      <c r="BI14" s="101">
        <f t="shared" si="17"/>
        <v>25873</v>
      </c>
      <c r="BJ14" s="24">
        <f t="shared" si="17"/>
        <v>2520</v>
      </c>
      <c r="BK14" s="24">
        <f t="shared" si="17"/>
        <v>2533</v>
      </c>
      <c r="BL14" s="24">
        <f t="shared" si="17"/>
        <v>2674</v>
      </c>
      <c r="BM14" s="24">
        <f t="shared" si="17"/>
        <v>330</v>
      </c>
      <c r="BN14" s="24">
        <f t="shared" si="17"/>
        <v>8022</v>
      </c>
      <c r="BO14" s="24">
        <f t="shared" si="17"/>
        <v>0</v>
      </c>
      <c r="BP14" s="24">
        <f t="shared" si="17"/>
        <v>9794</v>
      </c>
      <c r="BQ14" s="101">
        <f t="shared" si="17"/>
        <v>25873</v>
      </c>
      <c r="BR14" s="42">
        <f t="shared" si="17"/>
        <v>2259</v>
      </c>
      <c r="BS14" s="24">
        <f t="shared" si="17"/>
        <v>514</v>
      </c>
      <c r="BT14" s="24">
        <f t="shared" si="17"/>
        <v>40456</v>
      </c>
      <c r="BU14" s="24">
        <f t="shared" si="17"/>
        <v>43229</v>
      </c>
    </row>
    <row r="15" ht="12.75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3" width="8.0"/>
  </cols>
  <sheetData>
    <row r="1" ht="124.5" customHeight="1">
      <c r="A1" s="2" t="s">
        <v>1</v>
      </c>
      <c r="B1" s="3" t="s">
        <v>2</v>
      </c>
      <c r="C1" s="3" t="s">
        <v>3</v>
      </c>
      <c r="D1" s="4" t="s">
        <v>4</v>
      </c>
      <c r="E1" s="5" t="s">
        <v>5</v>
      </c>
      <c r="F1" s="2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6" t="s">
        <v>13</v>
      </c>
      <c r="N1" s="2" t="s">
        <v>14</v>
      </c>
      <c r="O1" s="3" t="s">
        <v>15</v>
      </c>
      <c r="P1" s="6" t="s">
        <v>16</v>
      </c>
      <c r="Q1" s="2" t="s">
        <v>17</v>
      </c>
      <c r="R1" s="3" t="s">
        <v>18</v>
      </c>
      <c r="S1" s="6" t="s">
        <v>19</v>
      </c>
      <c r="T1" s="2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6" t="s">
        <v>27</v>
      </c>
      <c r="AB1" s="2">
        <v>-18.0</v>
      </c>
      <c r="AC1" s="3" t="s">
        <v>28</v>
      </c>
      <c r="AD1" s="3" t="s">
        <v>29</v>
      </c>
      <c r="AE1" s="3" t="s">
        <v>30</v>
      </c>
      <c r="AF1" s="3" t="s">
        <v>31</v>
      </c>
      <c r="AG1" s="6" t="s">
        <v>32</v>
      </c>
      <c r="AH1" s="2" t="s">
        <v>33</v>
      </c>
      <c r="AI1" s="3" t="s">
        <v>34</v>
      </c>
      <c r="AJ1" s="6" t="s">
        <v>35</v>
      </c>
      <c r="AK1" s="2" t="s">
        <v>36</v>
      </c>
      <c r="AL1" s="3" t="s">
        <v>37</v>
      </c>
      <c r="AM1" s="6" t="s">
        <v>38</v>
      </c>
      <c r="AN1" s="2" t="s">
        <v>39</v>
      </c>
      <c r="AO1" s="3" t="s">
        <v>40</v>
      </c>
      <c r="AP1" s="6" t="s">
        <v>41</v>
      </c>
      <c r="AQ1" s="2" t="s">
        <v>42</v>
      </c>
      <c r="AR1" s="3" t="s">
        <v>43</v>
      </c>
      <c r="AS1" s="3" t="s">
        <v>44</v>
      </c>
      <c r="AT1" s="3" t="s">
        <v>45</v>
      </c>
      <c r="AU1" s="7" t="s">
        <v>46</v>
      </c>
      <c r="AV1" s="8" t="s">
        <v>47</v>
      </c>
      <c r="AW1" s="9" t="s">
        <v>46</v>
      </c>
      <c r="AX1" s="3" t="s">
        <v>48</v>
      </c>
      <c r="AY1" s="3" t="s">
        <v>49</v>
      </c>
      <c r="AZ1" s="10" t="s">
        <v>47</v>
      </c>
      <c r="BA1" s="11" t="s">
        <v>50</v>
      </c>
      <c r="BB1" s="12" t="s">
        <v>51</v>
      </c>
      <c r="BC1" s="12" t="s">
        <v>52</v>
      </c>
      <c r="BD1" s="12" t="s">
        <v>53</v>
      </c>
      <c r="BE1" s="13" t="s">
        <v>54</v>
      </c>
      <c r="BF1" s="14" t="s">
        <v>55</v>
      </c>
      <c r="BG1" s="14" t="s">
        <v>56</v>
      </c>
      <c r="BH1" s="15" t="s">
        <v>57</v>
      </c>
      <c r="BI1" s="16" t="s">
        <v>47</v>
      </c>
      <c r="BJ1" s="16" t="s">
        <v>58</v>
      </c>
      <c r="BK1" s="17" t="s">
        <v>59</v>
      </c>
      <c r="BL1" s="18" t="s">
        <v>60</v>
      </c>
      <c r="BM1" s="18" t="s">
        <v>61</v>
      </c>
      <c r="BN1" s="18" t="s">
        <v>62</v>
      </c>
      <c r="BO1" s="18" t="s">
        <v>63</v>
      </c>
      <c r="BP1" s="18" t="s">
        <v>26</v>
      </c>
      <c r="BQ1" s="19" t="s">
        <v>64</v>
      </c>
      <c r="BR1" s="20" t="s">
        <v>65</v>
      </c>
      <c r="BS1" s="21" t="s">
        <v>66</v>
      </c>
      <c r="BT1" s="18" t="s">
        <v>67</v>
      </c>
      <c r="BU1" s="22" t="s">
        <v>68</v>
      </c>
    </row>
    <row r="2" ht="21.0" customHeight="1">
      <c r="A2" s="24" t="s">
        <v>69</v>
      </c>
      <c r="B2" s="25">
        <v>5466.0</v>
      </c>
      <c r="C2" s="26">
        <v>224.0</v>
      </c>
      <c r="D2" s="27">
        <v>39.0</v>
      </c>
      <c r="E2" s="28">
        <f t="shared" ref="E2:E13" si="1">SUM(B2:D2)</f>
        <v>5729</v>
      </c>
      <c r="F2" s="26">
        <v>588.0</v>
      </c>
      <c r="G2" s="26">
        <v>1015.0</v>
      </c>
      <c r="H2" s="26">
        <v>920.0</v>
      </c>
      <c r="I2" s="26">
        <v>889.0</v>
      </c>
      <c r="J2" s="26">
        <v>871.0</v>
      </c>
      <c r="K2" s="26">
        <v>996.0</v>
      </c>
      <c r="L2" s="27">
        <v>450.0</v>
      </c>
      <c r="M2" s="24">
        <f t="shared" ref="M2:M14" si="2">F2+G2+H2+I2+J2+K2+L2</f>
        <v>5729</v>
      </c>
      <c r="N2" s="26">
        <v>5126.0</v>
      </c>
      <c r="O2" s="27">
        <v>603.0</v>
      </c>
      <c r="P2" s="24">
        <f t="shared" ref="P2:P13" si="3">SUM(N2:O2)</f>
        <v>5729</v>
      </c>
      <c r="Q2" s="26">
        <v>5228.0</v>
      </c>
      <c r="R2" s="27">
        <v>501.0</v>
      </c>
      <c r="S2" s="24">
        <f t="shared" ref="S2:S13" si="4">SUM(Q2:R2)</f>
        <v>5729</v>
      </c>
      <c r="T2" s="26">
        <v>9822.0</v>
      </c>
      <c r="U2" s="26">
        <v>684.0</v>
      </c>
      <c r="V2" s="26">
        <v>26.0</v>
      </c>
      <c r="W2" s="26">
        <v>902.0</v>
      </c>
      <c r="X2" s="26">
        <v>29.0</v>
      </c>
      <c r="Y2" s="26">
        <v>91.0</v>
      </c>
      <c r="Z2" s="27">
        <v>5.0</v>
      </c>
      <c r="AA2" s="24">
        <f t="shared" ref="AA2:AA13" si="5">SUM(T2:Z2)</f>
        <v>11559</v>
      </c>
      <c r="AB2" s="26">
        <v>421.0</v>
      </c>
      <c r="AC2" s="26">
        <v>4157.0</v>
      </c>
      <c r="AD2" s="26">
        <v>3248.0</v>
      </c>
      <c r="AE2" s="26">
        <v>2081.0</v>
      </c>
      <c r="AF2" s="26">
        <v>1652.0</v>
      </c>
      <c r="AG2" s="24">
        <f t="shared" ref="AG2:AG13" si="6">SUM(AB2:AF2)</f>
        <v>11559</v>
      </c>
      <c r="AH2" s="26">
        <v>5128.0</v>
      </c>
      <c r="AI2" s="26">
        <v>6431.0</v>
      </c>
      <c r="AJ2" s="24">
        <f t="shared" ref="AJ2:AJ13" si="7">SUM(AH2:AI2)</f>
        <v>11559</v>
      </c>
      <c r="AK2" s="26">
        <v>4951.0</v>
      </c>
      <c r="AL2" s="26">
        <v>6608.0</v>
      </c>
      <c r="AM2" s="24">
        <f t="shared" ref="AM2:AM13" si="8">SUM(AK2:AL2)</f>
        <v>11559</v>
      </c>
      <c r="AN2" s="26">
        <v>11559.0</v>
      </c>
      <c r="AO2" s="27">
        <v>0.0</v>
      </c>
      <c r="AP2" s="24">
        <f t="shared" ref="AP2:AP13" si="9">SUM(AN2:AO2)</f>
        <v>11559</v>
      </c>
      <c r="AQ2" s="26">
        <v>8817.0</v>
      </c>
      <c r="AR2" s="26">
        <v>1758.0</v>
      </c>
      <c r="AS2" s="26">
        <v>0.0</v>
      </c>
      <c r="AT2" s="26">
        <v>0.0</v>
      </c>
      <c r="AU2" s="27">
        <v>984.0</v>
      </c>
      <c r="AV2" s="24">
        <f t="shared" ref="AV2:AV13" si="10">SUM(AQ2:AU2)</f>
        <v>11559</v>
      </c>
      <c r="AW2" s="29">
        <f t="shared" ref="AW2:AW13" si="11">AU2</f>
        <v>984</v>
      </c>
      <c r="AX2" s="26">
        <v>8816.0</v>
      </c>
      <c r="AY2" s="27">
        <v>1759.0</v>
      </c>
      <c r="AZ2" s="24">
        <f t="shared" ref="AZ2:AZ13" si="12">AY2+AX2+AW2</f>
        <v>11559</v>
      </c>
      <c r="BA2" s="30">
        <v>5051.0</v>
      </c>
      <c r="BB2" s="30">
        <v>546.0</v>
      </c>
      <c r="BC2" s="30">
        <v>85.0</v>
      </c>
      <c r="BD2" s="30">
        <v>0.0</v>
      </c>
      <c r="BE2" s="30">
        <v>0.0</v>
      </c>
      <c r="BF2" s="30">
        <v>39.0</v>
      </c>
      <c r="BG2" s="30">
        <v>6.0</v>
      </c>
      <c r="BH2" s="31">
        <v>2.0</v>
      </c>
      <c r="BI2" s="24">
        <f t="shared" ref="BI2:BI13" si="13">SUM(BA2:BH2)</f>
        <v>5729</v>
      </c>
      <c r="BJ2" s="30">
        <v>101.0</v>
      </c>
      <c r="BK2" s="30">
        <v>276.0</v>
      </c>
      <c r="BL2" s="30">
        <v>31.0</v>
      </c>
      <c r="BM2" s="30">
        <v>18.0</v>
      </c>
      <c r="BN2" s="30">
        <v>402.0</v>
      </c>
      <c r="BO2" s="30">
        <v>0.0</v>
      </c>
      <c r="BP2" s="31">
        <v>4901.0</v>
      </c>
      <c r="BQ2" s="24">
        <f t="shared" ref="BQ2:BQ13" si="14">SUM(BJ2:BP2)</f>
        <v>5729</v>
      </c>
      <c r="BR2" s="32">
        <v>319.0</v>
      </c>
      <c r="BS2" s="30">
        <v>41.0</v>
      </c>
      <c r="BT2" s="31">
        <v>11608.0</v>
      </c>
      <c r="BU2" s="24">
        <f t="shared" ref="BU2:BU13" si="15">SUM(BR2:BT2)</f>
        <v>11968</v>
      </c>
    </row>
    <row r="3" ht="21.0" customHeight="1">
      <c r="A3" s="24" t="s">
        <v>98</v>
      </c>
      <c r="B3" s="33">
        <v>5134.0</v>
      </c>
      <c r="C3" s="30">
        <v>216.0</v>
      </c>
      <c r="D3" s="31">
        <v>48.0</v>
      </c>
      <c r="E3" s="28">
        <f t="shared" si="1"/>
        <v>5398</v>
      </c>
      <c r="F3" s="30">
        <v>618.0</v>
      </c>
      <c r="G3" s="30">
        <v>1116.0</v>
      </c>
      <c r="H3" s="30">
        <v>786.0</v>
      </c>
      <c r="I3" s="30">
        <v>796.0</v>
      </c>
      <c r="J3" s="30">
        <v>728.0</v>
      </c>
      <c r="K3" s="30">
        <v>866.0</v>
      </c>
      <c r="L3" s="31">
        <v>488.0</v>
      </c>
      <c r="M3" s="24">
        <f t="shared" si="2"/>
        <v>5398</v>
      </c>
      <c r="N3" s="30">
        <v>4851.0</v>
      </c>
      <c r="O3" s="31">
        <v>547.0</v>
      </c>
      <c r="P3" s="24">
        <f t="shared" si="3"/>
        <v>5398</v>
      </c>
      <c r="Q3" s="30">
        <v>4693.0</v>
      </c>
      <c r="R3" s="31">
        <v>705.0</v>
      </c>
      <c r="S3" s="24">
        <f t="shared" si="4"/>
        <v>5398</v>
      </c>
      <c r="T3" s="30">
        <v>8634.0</v>
      </c>
      <c r="U3" s="30">
        <v>795.0</v>
      </c>
      <c r="V3" s="30">
        <v>29.0</v>
      </c>
      <c r="W3" s="30">
        <v>1006.0</v>
      </c>
      <c r="X3" s="30">
        <v>25.0</v>
      </c>
      <c r="Y3" s="30">
        <v>101.0</v>
      </c>
      <c r="Z3" s="31">
        <v>7.0</v>
      </c>
      <c r="AA3" s="24">
        <f t="shared" si="5"/>
        <v>10597</v>
      </c>
      <c r="AB3" s="30">
        <v>537.0</v>
      </c>
      <c r="AC3" s="30">
        <v>3612.0</v>
      </c>
      <c r="AD3" s="30">
        <v>2941.0</v>
      </c>
      <c r="AE3" s="30">
        <v>2105.0</v>
      </c>
      <c r="AF3" s="30">
        <v>1402.0</v>
      </c>
      <c r="AG3" s="24">
        <f t="shared" si="6"/>
        <v>10597</v>
      </c>
      <c r="AH3" s="30">
        <v>4378.0</v>
      </c>
      <c r="AI3" s="30">
        <v>6219.0</v>
      </c>
      <c r="AJ3" s="24">
        <f t="shared" si="7"/>
        <v>10597</v>
      </c>
      <c r="AK3" s="30">
        <v>3756.0</v>
      </c>
      <c r="AL3" s="30">
        <v>6841.0</v>
      </c>
      <c r="AM3" s="24">
        <f t="shared" si="8"/>
        <v>10597</v>
      </c>
      <c r="AN3" s="30">
        <v>10597.0</v>
      </c>
      <c r="AO3" s="31">
        <v>0.0</v>
      </c>
      <c r="AP3" s="24">
        <f t="shared" si="9"/>
        <v>10597</v>
      </c>
      <c r="AQ3" s="30">
        <v>7620.0</v>
      </c>
      <c r="AR3" s="30">
        <v>1851.0</v>
      </c>
      <c r="AS3" s="30">
        <v>0.0</v>
      </c>
      <c r="AT3" s="30">
        <v>0.0</v>
      </c>
      <c r="AU3" s="31">
        <v>1126.0</v>
      </c>
      <c r="AV3" s="24">
        <f t="shared" si="10"/>
        <v>10597</v>
      </c>
      <c r="AW3" s="29">
        <f t="shared" si="11"/>
        <v>1126</v>
      </c>
      <c r="AX3" s="30">
        <v>8043.0</v>
      </c>
      <c r="AY3" s="31">
        <v>1428.0</v>
      </c>
      <c r="AZ3" s="24">
        <f t="shared" si="12"/>
        <v>10597</v>
      </c>
      <c r="BA3" s="30">
        <v>4626.0</v>
      </c>
      <c r="BB3" s="30">
        <v>643.0</v>
      </c>
      <c r="BC3" s="30">
        <v>95.0</v>
      </c>
      <c r="BD3" s="30">
        <v>0.0</v>
      </c>
      <c r="BE3" s="30">
        <v>0.0</v>
      </c>
      <c r="BF3" s="30">
        <v>27.0</v>
      </c>
      <c r="BG3" s="30">
        <v>7.0</v>
      </c>
      <c r="BH3" s="31">
        <v>0.0</v>
      </c>
      <c r="BI3" s="24">
        <f t="shared" si="13"/>
        <v>5398</v>
      </c>
      <c r="BJ3" s="30">
        <v>123.0</v>
      </c>
      <c r="BK3" s="30">
        <v>412.0</v>
      </c>
      <c r="BL3" s="30">
        <v>32.0</v>
      </c>
      <c r="BM3" s="30">
        <v>28.0</v>
      </c>
      <c r="BN3" s="30">
        <v>586.0</v>
      </c>
      <c r="BO3" s="30">
        <v>0.0</v>
      </c>
      <c r="BP3" s="31">
        <v>4217.0</v>
      </c>
      <c r="BQ3" s="24">
        <f t="shared" si="14"/>
        <v>5398</v>
      </c>
      <c r="BR3" s="32">
        <v>365.0</v>
      </c>
      <c r="BS3" s="30">
        <v>61.0</v>
      </c>
      <c r="BT3" s="31">
        <v>10658.0</v>
      </c>
      <c r="BU3" s="24">
        <f t="shared" si="15"/>
        <v>11084</v>
      </c>
    </row>
    <row r="4" ht="21.0" customHeight="1">
      <c r="A4" s="24" t="s">
        <v>71</v>
      </c>
      <c r="B4" s="33">
        <v>5158.0</v>
      </c>
      <c r="C4" s="30">
        <v>219.0</v>
      </c>
      <c r="D4" s="31">
        <v>44.0</v>
      </c>
      <c r="E4" s="28">
        <f t="shared" si="1"/>
        <v>5421</v>
      </c>
      <c r="F4" s="30">
        <v>596.0</v>
      </c>
      <c r="G4" s="30">
        <v>1187.0</v>
      </c>
      <c r="H4" s="30">
        <v>755.0</v>
      </c>
      <c r="I4" s="30">
        <v>801.0</v>
      </c>
      <c r="J4" s="30">
        <v>711.0</v>
      </c>
      <c r="K4" s="30">
        <v>889.0</v>
      </c>
      <c r="L4" s="31">
        <v>482.0</v>
      </c>
      <c r="M4" s="24">
        <f t="shared" si="2"/>
        <v>5421</v>
      </c>
      <c r="N4" s="30">
        <v>4697.0</v>
      </c>
      <c r="O4" s="31">
        <v>724.0</v>
      </c>
      <c r="P4" s="24">
        <f t="shared" si="3"/>
        <v>5421</v>
      </c>
      <c r="Q4" s="30">
        <v>5108.0</v>
      </c>
      <c r="R4" s="31">
        <v>313.0</v>
      </c>
      <c r="S4" s="24">
        <f t="shared" si="4"/>
        <v>5421</v>
      </c>
      <c r="T4" s="30">
        <v>8962.0</v>
      </c>
      <c r="U4" s="30">
        <v>756.0</v>
      </c>
      <c r="V4" s="30">
        <v>18.0</v>
      </c>
      <c r="W4" s="30">
        <v>1106.0</v>
      </c>
      <c r="X4" s="30">
        <v>48.0</v>
      </c>
      <c r="Y4" s="30">
        <v>114.0</v>
      </c>
      <c r="Z4" s="31">
        <v>6.0</v>
      </c>
      <c r="AA4" s="24">
        <f t="shared" si="5"/>
        <v>11010</v>
      </c>
      <c r="AB4" s="30">
        <v>621.0</v>
      </c>
      <c r="AC4" s="30">
        <v>3809.0</v>
      </c>
      <c r="AD4" s="30">
        <v>2716.0</v>
      </c>
      <c r="AE4" s="30">
        <v>2205.0</v>
      </c>
      <c r="AF4" s="30">
        <v>1659.0</v>
      </c>
      <c r="AG4" s="24">
        <f t="shared" si="6"/>
        <v>11010</v>
      </c>
      <c r="AH4" s="30">
        <v>4857.0</v>
      </c>
      <c r="AI4" s="30">
        <v>6153.0</v>
      </c>
      <c r="AJ4" s="24">
        <f t="shared" si="7"/>
        <v>11010</v>
      </c>
      <c r="AK4" s="30">
        <v>4176.0</v>
      </c>
      <c r="AL4" s="30">
        <v>6834.0</v>
      </c>
      <c r="AM4" s="24">
        <f t="shared" si="8"/>
        <v>11010</v>
      </c>
      <c r="AN4" s="30">
        <v>11010.0</v>
      </c>
      <c r="AO4" s="31">
        <v>0.0</v>
      </c>
      <c r="AP4" s="24">
        <f t="shared" si="9"/>
        <v>11010</v>
      </c>
      <c r="AQ4" s="30">
        <v>8100.0</v>
      </c>
      <c r="AR4" s="30">
        <v>1684.0</v>
      </c>
      <c r="AS4" s="30">
        <v>0.0</v>
      </c>
      <c r="AT4" s="30">
        <v>0.0</v>
      </c>
      <c r="AU4" s="31">
        <v>1226.0</v>
      </c>
      <c r="AV4" s="24">
        <f t="shared" si="10"/>
        <v>11010</v>
      </c>
      <c r="AW4" s="29">
        <f t="shared" si="11"/>
        <v>1226</v>
      </c>
      <c r="AX4" s="30">
        <v>8452.0</v>
      </c>
      <c r="AY4" s="31">
        <v>1332.0</v>
      </c>
      <c r="AZ4" s="24">
        <f t="shared" si="12"/>
        <v>11010</v>
      </c>
      <c r="BA4" s="30">
        <v>4701.0</v>
      </c>
      <c r="BB4" s="30">
        <v>589.0</v>
      </c>
      <c r="BC4" s="30">
        <v>91.0</v>
      </c>
      <c r="BD4" s="30">
        <v>1.0</v>
      </c>
      <c r="BE4" s="30">
        <v>0.0</v>
      </c>
      <c r="BF4" s="30">
        <v>34.0</v>
      </c>
      <c r="BG4" s="30">
        <v>5.0</v>
      </c>
      <c r="BH4" s="31">
        <v>0.0</v>
      </c>
      <c r="BI4" s="24">
        <f t="shared" si="13"/>
        <v>5421</v>
      </c>
      <c r="BJ4" s="30">
        <v>116.0</v>
      </c>
      <c r="BK4" s="30">
        <v>352.0</v>
      </c>
      <c r="BL4" s="30">
        <v>41.0</v>
      </c>
      <c r="BM4" s="30">
        <v>19.0</v>
      </c>
      <c r="BN4" s="30">
        <v>497.0</v>
      </c>
      <c r="BO4" s="30">
        <v>0.0</v>
      </c>
      <c r="BP4" s="31">
        <v>4396.0</v>
      </c>
      <c r="BQ4" s="24">
        <f t="shared" si="14"/>
        <v>5421</v>
      </c>
      <c r="BR4" s="32">
        <v>331.0</v>
      </c>
      <c r="BS4" s="30">
        <v>48.0</v>
      </c>
      <c r="BT4" s="31">
        <v>11112.0</v>
      </c>
      <c r="BU4" s="24">
        <f t="shared" si="15"/>
        <v>11491</v>
      </c>
    </row>
    <row r="5" ht="21.0" customHeight="1">
      <c r="A5" s="24" t="s">
        <v>72</v>
      </c>
      <c r="B5" s="33">
        <v>5196.0</v>
      </c>
      <c r="C5" s="30">
        <v>201.0</v>
      </c>
      <c r="D5" s="31">
        <v>31.0</v>
      </c>
      <c r="E5" s="28">
        <f t="shared" si="1"/>
        <v>5428</v>
      </c>
      <c r="F5" s="30">
        <v>584.0</v>
      </c>
      <c r="G5" s="30">
        <v>1192.0</v>
      </c>
      <c r="H5" s="30">
        <v>789.0</v>
      </c>
      <c r="I5" s="30">
        <v>781.0</v>
      </c>
      <c r="J5" s="30">
        <v>773.0</v>
      </c>
      <c r="K5" s="30">
        <v>880.0</v>
      </c>
      <c r="L5" s="31">
        <v>429.0</v>
      </c>
      <c r="M5" s="24">
        <f t="shared" si="2"/>
        <v>5428</v>
      </c>
      <c r="N5" s="30">
        <v>4752.0</v>
      </c>
      <c r="O5" s="31">
        <v>676.0</v>
      </c>
      <c r="P5" s="24">
        <f t="shared" si="3"/>
        <v>5428</v>
      </c>
      <c r="Q5" s="30">
        <v>4795.0</v>
      </c>
      <c r="R5" s="31">
        <v>633.0</v>
      </c>
      <c r="S5" s="24">
        <f t="shared" si="4"/>
        <v>5428</v>
      </c>
      <c r="T5" s="30">
        <v>9325.0</v>
      </c>
      <c r="U5" s="30">
        <v>788.0</v>
      </c>
      <c r="V5" s="30">
        <v>18.0</v>
      </c>
      <c r="W5" s="30">
        <v>1116.0</v>
      </c>
      <c r="X5" s="30">
        <v>48.0</v>
      </c>
      <c r="Y5" s="30">
        <v>114.0</v>
      </c>
      <c r="Z5" s="31">
        <v>5.0</v>
      </c>
      <c r="AA5" s="24">
        <f t="shared" si="5"/>
        <v>11414</v>
      </c>
      <c r="AB5" s="30">
        <v>816.0</v>
      </c>
      <c r="AC5" s="30">
        <v>3735.0</v>
      </c>
      <c r="AD5" s="30">
        <v>2977.0</v>
      </c>
      <c r="AE5" s="30">
        <v>2128.0</v>
      </c>
      <c r="AF5" s="30">
        <v>1758.0</v>
      </c>
      <c r="AG5" s="24">
        <f t="shared" si="6"/>
        <v>11414</v>
      </c>
      <c r="AH5" s="30">
        <v>5180.0</v>
      </c>
      <c r="AI5" s="30">
        <v>6234.0</v>
      </c>
      <c r="AJ5" s="24">
        <f t="shared" si="7"/>
        <v>11414</v>
      </c>
      <c r="AK5" s="30">
        <v>4420.0</v>
      </c>
      <c r="AL5" s="30">
        <v>6994.0</v>
      </c>
      <c r="AM5" s="24">
        <f t="shared" si="8"/>
        <v>11414</v>
      </c>
      <c r="AN5" s="30">
        <v>11414.0</v>
      </c>
      <c r="AO5" s="31">
        <v>0.0</v>
      </c>
      <c r="AP5" s="24">
        <f t="shared" si="9"/>
        <v>11414</v>
      </c>
      <c r="AQ5" s="30">
        <v>8759.0</v>
      </c>
      <c r="AR5" s="30">
        <v>1528.0</v>
      </c>
      <c r="AS5" s="30">
        <v>0.0</v>
      </c>
      <c r="AT5" s="30">
        <v>0.0</v>
      </c>
      <c r="AU5" s="31">
        <v>1127.0</v>
      </c>
      <c r="AV5" s="24">
        <f t="shared" si="10"/>
        <v>11414</v>
      </c>
      <c r="AW5" s="29">
        <f t="shared" si="11"/>
        <v>1127</v>
      </c>
      <c r="AX5" s="30">
        <v>8862.0</v>
      </c>
      <c r="AY5" s="31">
        <v>1425.0</v>
      </c>
      <c r="AZ5" s="24">
        <f t="shared" si="12"/>
        <v>11414</v>
      </c>
      <c r="BA5" s="30">
        <v>4883.0</v>
      </c>
      <c r="BB5" s="30">
        <v>425.0</v>
      </c>
      <c r="BC5" s="30">
        <v>84.0</v>
      </c>
      <c r="BD5" s="30">
        <v>0.0</v>
      </c>
      <c r="BE5" s="30">
        <v>0.0</v>
      </c>
      <c r="BF5" s="30">
        <v>36.0</v>
      </c>
      <c r="BG5" s="30">
        <v>0.0</v>
      </c>
      <c r="BH5" s="31">
        <v>0.0</v>
      </c>
      <c r="BI5" s="24">
        <f t="shared" si="13"/>
        <v>5428</v>
      </c>
      <c r="BJ5" s="30">
        <v>123.0</v>
      </c>
      <c r="BK5" s="30">
        <v>425.0</v>
      </c>
      <c r="BL5" s="30">
        <v>66.0</v>
      </c>
      <c r="BM5" s="30">
        <v>21.0</v>
      </c>
      <c r="BN5" s="30">
        <v>476.0</v>
      </c>
      <c r="BO5" s="30">
        <v>0.0</v>
      </c>
      <c r="BP5" s="31">
        <v>4317.0</v>
      </c>
      <c r="BQ5" s="24">
        <f t="shared" si="14"/>
        <v>5428</v>
      </c>
      <c r="BR5" s="32">
        <v>324.0</v>
      </c>
      <c r="BS5" s="30">
        <v>39.0</v>
      </c>
      <c r="BT5" s="31">
        <v>11501.0</v>
      </c>
      <c r="BU5" s="24">
        <f t="shared" si="15"/>
        <v>11864</v>
      </c>
    </row>
    <row r="6" ht="21.0" customHeight="1">
      <c r="A6" s="34" t="s">
        <v>73</v>
      </c>
      <c r="B6" s="33">
        <v>5409.0</v>
      </c>
      <c r="C6" s="30">
        <v>196.0</v>
      </c>
      <c r="D6" s="31">
        <v>49.0</v>
      </c>
      <c r="E6" s="28">
        <f t="shared" si="1"/>
        <v>5654</v>
      </c>
      <c r="F6" s="30">
        <v>594.0</v>
      </c>
      <c r="G6" s="30">
        <v>1128.0</v>
      </c>
      <c r="H6" s="30">
        <v>906.0</v>
      </c>
      <c r="I6" s="30">
        <v>799.0</v>
      </c>
      <c r="J6" s="30">
        <v>793.0</v>
      </c>
      <c r="K6" s="30">
        <v>951.0</v>
      </c>
      <c r="L6" s="31">
        <v>483.0</v>
      </c>
      <c r="M6" s="24">
        <f t="shared" si="2"/>
        <v>5654</v>
      </c>
      <c r="N6" s="30">
        <v>5095.0</v>
      </c>
      <c r="O6" s="31">
        <v>559.0</v>
      </c>
      <c r="P6" s="24">
        <f t="shared" si="3"/>
        <v>5654</v>
      </c>
      <c r="Q6" s="30">
        <v>5032.0</v>
      </c>
      <c r="R6" s="31">
        <v>622.0</v>
      </c>
      <c r="S6" s="24">
        <f t="shared" si="4"/>
        <v>5654</v>
      </c>
      <c r="T6" s="30">
        <v>9624.0</v>
      </c>
      <c r="U6" s="30">
        <v>761.0</v>
      </c>
      <c r="V6" s="30">
        <v>14.0</v>
      </c>
      <c r="W6" s="30">
        <v>1245.0</v>
      </c>
      <c r="X6" s="30">
        <v>47.0</v>
      </c>
      <c r="Y6" s="30">
        <v>128.0</v>
      </c>
      <c r="Z6" s="31">
        <v>7.0</v>
      </c>
      <c r="AA6" s="24">
        <f t="shared" si="5"/>
        <v>11826</v>
      </c>
      <c r="AB6" s="30">
        <v>938.0</v>
      </c>
      <c r="AC6" s="30">
        <v>3861.0</v>
      </c>
      <c r="AD6" s="30">
        <v>3248.0</v>
      </c>
      <c r="AE6" s="30">
        <v>2451.0</v>
      </c>
      <c r="AF6" s="30">
        <v>1328.0</v>
      </c>
      <c r="AG6" s="24">
        <f t="shared" si="6"/>
        <v>11826</v>
      </c>
      <c r="AH6" s="30">
        <v>5412.0</v>
      </c>
      <c r="AI6" s="30">
        <v>6414.0</v>
      </c>
      <c r="AJ6" s="24">
        <f t="shared" si="7"/>
        <v>11826</v>
      </c>
      <c r="AK6" s="30">
        <v>5072.0</v>
      </c>
      <c r="AL6" s="30">
        <v>6754.0</v>
      </c>
      <c r="AM6" s="24">
        <f t="shared" si="8"/>
        <v>11826</v>
      </c>
      <c r="AN6" s="30">
        <v>11826.0</v>
      </c>
      <c r="AO6" s="31">
        <v>0.0</v>
      </c>
      <c r="AP6" s="24">
        <f t="shared" si="9"/>
        <v>11826</v>
      </c>
      <c r="AQ6" s="30">
        <v>8902.0</v>
      </c>
      <c r="AR6" s="30">
        <v>1676.0</v>
      </c>
      <c r="AS6" s="30">
        <v>0.0</v>
      </c>
      <c r="AT6" s="30">
        <v>0.0</v>
      </c>
      <c r="AU6" s="31">
        <v>1248.0</v>
      </c>
      <c r="AV6" s="24">
        <f t="shared" si="10"/>
        <v>11826</v>
      </c>
      <c r="AW6" s="29">
        <f t="shared" si="11"/>
        <v>1248</v>
      </c>
      <c r="AX6" s="30">
        <v>8736.0</v>
      </c>
      <c r="AY6" s="31">
        <v>1842.0</v>
      </c>
      <c r="AZ6" s="24">
        <f t="shared" si="12"/>
        <v>11826</v>
      </c>
      <c r="BA6" s="30">
        <v>5107.0</v>
      </c>
      <c r="BB6" s="30">
        <v>412.0</v>
      </c>
      <c r="BC6" s="30">
        <v>89.0</v>
      </c>
      <c r="BD6" s="30">
        <v>0.0</v>
      </c>
      <c r="BE6" s="30">
        <v>0.0</v>
      </c>
      <c r="BF6" s="30">
        <v>44.0</v>
      </c>
      <c r="BG6" s="30">
        <v>0.0</v>
      </c>
      <c r="BH6" s="31">
        <v>2.0</v>
      </c>
      <c r="BI6" s="24">
        <f t="shared" si="13"/>
        <v>5654</v>
      </c>
      <c r="BJ6" s="30">
        <v>186.0</v>
      </c>
      <c r="BK6" s="30">
        <v>491.0</v>
      </c>
      <c r="BL6" s="30">
        <v>95.0</v>
      </c>
      <c r="BM6" s="30">
        <v>26.0</v>
      </c>
      <c r="BN6" s="30">
        <v>428.0</v>
      </c>
      <c r="BO6" s="30">
        <v>0.0</v>
      </c>
      <c r="BP6" s="31">
        <v>4428.0</v>
      </c>
      <c r="BQ6" s="24">
        <f t="shared" si="14"/>
        <v>5654</v>
      </c>
      <c r="BR6" s="32">
        <v>310.0</v>
      </c>
      <c r="BS6" s="30">
        <v>66.0</v>
      </c>
      <c r="BT6" s="31">
        <v>11903.0</v>
      </c>
      <c r="BU6" s="24">
        <f t="shared" si="15"/>
        <v>12279</v>
      </c>
    </row>
    <row r="7" ht="21.0" customHeight="1">
      <c r="A7" s="34" t="s">
        <v>74</v>
      </c>
      <c r="B7" s="33">
        <v>5141.0</v>
      </c>
      <c r="C7" s="30">
        <v>210.0</v>
      </c>
      <c r="D7" s="31">
        <v>34.0</v>
      </c>
      <c r="E7" s="28">
        <f t="shared" si="1"/>
        <v>5385</v>
      </c>
      <c r="F7" s="30">
        <v>351.0</v>
      </c>
      <c r="G7" s="30">
        <v>934.0</v>
      </c>
      <c r="H7" s="30">
        <v>948.0</v>
      </c>
      <c r="I7" s="30">
        <v>966.0</v>
      </c>
      <c r="J7" s="30">
        <v>903.0</v>
      </c>
      <c r="K7" s="30">
        <v>917.0</v>
      </c>
      <c r="L7" s="31">
        <v>366.0</v>
      </c>
      <c r="M7" s="24">
        <f t="shared" si="2"/>
        <v>5385</v>
      </c>
      <c r="N7" s="30">
        <v>4906.0</v>
      </c>
      <c r="O7" s="31">
        <v>479.0</v>
      </c>
      <c r="P7" s="24">
        <f t="shared" si="3"/>
        <v>5385</v>
      </c>
      <c r="Q7" s="30">
        <v>4709.0</v>
      </c>
      <c r="R7" s="31">
        <v>676.0</v>
      </c>
      <c r="S7" s="24">
        <f t="shared" si="4"/>
        <v>5385</v>
      </c>
      <c r="T7" s="30">
        <v>11597.0</v>
      </c>
      <c r="U7" s="30">
        <v>80.0</v>
      </c>
      <c r="V7" s="30">
        <v>30.0</v>
      </c>
      <c r="W7" s="30">
        <v>139.0</v>
      </c>
      <c r="X7" s="30">
        <v>64.0</v>
      </c>
      <c r="Y7" s="30">
        <v>78.0</v>
      </c>
      <c r="Z7" s="31">
        <v>7.0</v>
      </c>
      <c r="AA7" s="24">
        <f t="shared" si="5"/>
        <v>11995</v>
      </c>
      <c r="AB7" s="30">
        <v>893.0</v>
      </c>
      <c r="AC7" s="30">
        <v>3615.0</v>
      </c>
      <c r="AD7" s="30">
        <v>3210.0</v>
      </c>
      <c r="AE7" s="30">
        <v>2742.0</v>
      </c>
      <c r="AF7" s="30">
        <v>1535.0</v>
      </c>
      <c r="AG7" s="24">
        <f t="shared" si="6"/>
        <v>11995</v>
      </c>
      <c r="AH7" s="30">
        <v>5109.0</v>
      </c>
      <c r="AI7" s="30">
        <v>6886.0</v>
      </c>
      <c r="AJ7" s="24">
        <f t="shared" si="7"/>
        <v>11995</v>
      </c>
      <c r="AK7" s="30">
        <v>5152.0</v>
      </c>
      <c r="AL7" s="30">
        <v>6843.0</v>
      </c>
      <c r="AM7" s="24">
        <f t="shared" si="8"/>
        <v>11995</v>
      </c>
      <c r="AN7" s="30">
        <v>11995.0</v>
      </c>
      <c r="AO7" s="31">
        <v>0.0</v>
      </c>
      <c r="AP7" s="24">
        <f t="shared" si="9"/>
        <v>11995</v>
      </c>
      <c r="AQ7" s="30">
        <v>8729.0</v>
      </c>
      <c r="AR7" s="30">
        <v>923.0</v>
      </c>
      <c r="AS7" s="30">
        <v>0.0</v>
      </c>
      <c r="AT7" s="30">
        <v>0.0</v>
      </c>
      <c r="AU7" s="31">
        <v>2343.0</v>
      </c>
      <c r="AV7" s="24">
        <f t="shared" si="10"/>
        <v>11995</v>
      </c>
      <c r="AW7" s="29">
        <f t="shared" si="11"/>
        <v>2343</v>
      </c>
      <c r="AX7" s="30">
        <v>7554.0</v>
      </c>
      <c r="AY7" s="31">
        <v>2098.0</v>
      </c>
      <c r="AZ7" s="24">
        <f t="shared" si="12"/>
        <v>11995</v>
      </c>
      <c r="BA7" s="30">
        <v>4605.0</v>
      </c>
      <c r="BB7" s="30">
        <v>648.0</v>
      </c>
      <c r="BC7" s="30">
        <v>87.0</v>
      </c>
      <c r="BD7" s="30">
        <v>0.0</v>
      </c>
      <c r="BE7" s="30">
        <v>0.0</v>
      </c>
      <c r="BF7" s="30">
        <v>44.0</v>
      </c>
      <c r="BG7" s="30">
        <v>0.0</v>
      </c>
      <c r="BH7" s="31">
        <v>1.0</v>
      </c>
      <c r="BI7" s="24">
        <f t="shared" si="13"/>
        <v>5385</v>
      </c>
      <c r="BJ7" s="30">
        <v>75.0</v>
      </c>
      <c r="BK7" s="30">
        <v>185.0</v>
      </c>
      <c r="BL7" s="30">
        <v>48.0</v>
      </c>
      <c r="BM7" s="30">
        <v>26.0</v>
      </c>
      <c r="BN7" s="30">
        <v>635.0</v>
      </c>
      <c r="BO7" s="30">
        <v>0.0</v>
      </c>
      <c r="BP7" s="31">
        <v>4416.0</v>
      </c>
      <c r="BQ7" s="24">
        <f t="shared" si="14"/>
        <v>5385</v>
      </c>
      <c r="BR7" s="32">
        <v>324.0</v>
      </c>
      <c r="BS7" s="30">
        <v>50.0</v>
      </c>
      <c r="BT7" s="31">
        <v>12114.0</v>
      </c>
      <c r="BU7" s="24">
        <f t="shared" si="15"/>
        <v>12488</v>
      </c>
    </row>
    <row r="8" ht="21.0" customHeight="1">
      <c r="A8" s="24" t="s">
        <v>75</v>
      </c>
      <c r="B8" s="33">
        <v>5283.0</v>
      </c>
      <c r="C8" s="30">
        <v>155.0</v>
      </c>
      <c r="D8" s="31">
        <v>40.0</v>
      </c>
      <c r="E8" s="28">
        <f t="shared" si="1"/>
        <v>5478</v>
      </c>
      <c r="F8" s="30">
        <v>588.0</v>
      </c>
      <c r="G8" s="30">
        <v>1102.0</v>
      </c>
      <c r="H8" s="30">
        <v>897.0</v>
      </c>
      <c r="I8" s="30">
        <v>886.0</v>
      </c>
      <c r="J8" s="30">
        <v>781.0</v>
      </c>
      <c r="K8" s="30">
        <v>817.0</v>
      </c>
      <c r="L8" s="31">
        <v>407.0</v>
      </c>
      <c r="M8" s="24">
        <f t="shared" si="2"/>
        <v>5478</v>
      </c>
      <c r="N8" s="30">
        <v>4986.0</v>
      </c>
      <c r="O8" s="31">
        <v>492.0</v>
      </c>
      <c r="P8" s="24">
        <f t="shared" si="3"/>
        <v>5478</v>
      </c>
      <c r="Q8" s="30">
        <v>4842.0</v>
      </c>
      <c r="R8" s="31">
        <v>636.0</v>
      </c>
      <c r="S8" s="24">
        <f t="shared" si="4"/>
        <v>5478</v>
      </c>
      <c r="T8" s="30">
        <v>8447.0</v>
      </c>
      <c r="U8" s="30">
        <v>971.0</v>
      </c>
      <c r="V8" s="30">
        <v>9.0</v>
      </c>
      <c r="W8" s="30">
        <v>1354.0</v>
      </c>
      <c r="X8" s="30">
        <v>35.0</v>
      </c>
      <c r="Y8" s="30">
        <v>133.0</v>
      </c>
      <c r="Z8" s="31">
        <v>5.0</v>
      </c>
      <c r="AA8" s="24">
        <f t="shared" si="5"/>
        <v>10954</v>
      </c>
      <c r="AB8" s="30">
        <v>1128.0</v>
      </c>
      <c r="AC8" s="30">
        <v>3641.0</v>
      </c>
      <c r="AD8" s="30">
        <v>2640.0</v>
      </c>
      <c r="AE8" s="30">
        <v>2048.0</v>
      </c>
      <c r="AF8" s="30">
        <v>1497.0</v>
      </c>
      <c r="AG8" s="24">
        <f t="shared" si="6"/>
        <v>10954</v>
      </c>
      <c r="AH8" s="30">
        <v>4300.0</v>
      </c>
      <c r="AI8" s="30">
        <v>6654.0</v>
      </c>
      <c r="AJ8" s="24">
        <f t="shared" si="7"/>
        <v>10954</v>
      </c>
      <c r="AK8" s="30">
        <v>3970.0</v>
      </c>
      <c r="AL8" s="30">
        <v>6984.0</v>
      </c>
      <c r="AM8" s="24">
        <f t="shared" si="8"/>
        <v>10954</v>
      </c>
      <c r="AN8" s="30">
        <v>10954.0</v>
      </c>
      <c r="AO8" s="31">
        <v>0.0</v>
      </c>
      <c r="AP8" s="24">
        <f t="shared" si="9"/>
        <v>10954</v>
      </c>
      <c r="AQ8" s="30">
        <v>7938.0</v>
      </c>
      <c r="AR8" s="30">
        <v>1329.0</v>
      </c>
      <c r="AS8" s="30">
        <v>0.0</v>
      </c>
      <c r="AT8" s="30">
        <v>0.0</v>
      </c>
      <c r="AU8" s="31">
        <v>1687.0</v>
      </c>
      <c r="AV8" s="24">
        <f t="shared" si="10"/>
        <v>10954</v>
      </c>
      <c r="AW8" s="29">
        <f t="shared" si="11"/>
        <v>1687</v>
      </c>
      <c r="AX8" s="30">
        <v>7694.0</v>
      </c>
      <c r="AY8" s="31">
        <v>1573.0</v>
      </c>
      <c r="AZ8" s="24">
        <f t="shared" si="12"/>
        <v>10954</v>
      </c>
      <c r="BA8" s="30">
        <v>4792.0</v>
      </c>
      <c r="BB8" s="30">
        <v>578.0</v>
      </c>
      <c r="BC8" s="30">
        <v>77.0</v>
      </c>
      <c r="BD8" s="30">
        <v>0.0</v>
      </c>
      <c r="BE8" s="30">
        <v>0.0</v>
      </c>
      <c r="BF8" s="30">
        <v>28.0</v>
      </c>
      <c r="BG8" s="30">
        <v>0.0</v>
      </c>
      <c r="BH8" s="31">
        <v>3.0</v>
      </c>
      <c r="BI8" s="24">
        <f t="shared" si="13"/>
        <v>5478</v>
      </c>
      <c r="BJ8" s="30">
        <v>192.0</v>
      </c>
      <c r="BK8" s="30">
        <v>397.0</v>
      </c>
      <c r="BL8" s="30">
        <v>99.0</v>
      </c>
      <c r="BM8" s="30">
        <v>31.0</v>
      </c>
      <c r="BN8" s="30">
        <v>541.0</v>
      </c>
      <c r="BO8" s="30">
        <v>0.0</v>
      </c>
      <c r="BP8" s="31">
        <v>4218.0</v>
      </c>
      <c r="BQ8" s="24">
        <f t="shared" si="14"/>
        <v>5478</v>
      </c>
      <c r="BR8" s="32">
        <v>244.0</v>
      </c>
      <c r="BS8" s="30">
        <v>50.0</v>
      </c>
      <c r="BT8" s="31">
        <v>11328.0</v>
      </c>
      <c r="BU8" s="24">
        <f t="shared" si="15"/>
        <v>11622</v>
      </c>
    </row>
    <row r="9" ht="21.0" customHeight="1">
      <c r="A9" s="24" t="s">
        <v>76</v>
      </c>
      <c r="B9" s="33">
        <v>5389.0</v>
      </c>
      <c r="C9" s="30">
        <v>208.0</v>
      </c>
      <c r="D9" s="31">
        <v>34.0</v>
      </c>
      <c r="E9" s="28">
        <f t="shared" si="1"/>
        <v>5631</v>
      </c>
      <c r="F9" s="30">
        <v>467.0</v>
      </c>
      <c r="G9" s="30">
        <v>1217.0</v>
      </c>
      <c r="H9" s="30">
        <v>905.0</v>
      </c>
      <c r="I9" s="30">
        <v>882.0</v>
      </c>
      <c r="J9" s="30">
        <v>796.0</v>
      </c>
      <c r="K9" s="30">
        <v>997.0</v>
      </c>
      <c r="L9" s="31">
        <v>367.0</v>
      </c>
      <c r="M9" s="24">
        <f t="shared" si="2"/>
        <v>5631</v>
      </c>
      <c r="N9" s="30">
        <v>5193.0</v>
      </c>
      <c r="O9" s="31">
        <v>438.0</v>
      </c>
      <c r="P9" s="24">
        <f t="shared" si="3"/>
        <v>5631</v>
      </c>
      <c r="Q9" s="30">
        <v>5048.0</v>
      </c>
      <c r="R9" s="31">
        <v>583.0</v>
      </c>
      <c r="S9" s="24">
        <f t="shared" si="4"/>
        <v>5631</v>
      </c>
      <c r="T9" s="30">
        <v>9018.0</v>
      </c>
      <c r="U9" s="30">
        <v>842.0</v>
      </c>
      <c r="V9" s="30">
        <v>7.0</v>
      </c>
      <c r="W9" s="30">
        <v>998.0</v>
      </c>
      <c r="X9" s="30">
        <v>14.0</v>
      </c>
      <c r="Y9" s="30">
        <v>146.0</v>
      </c>
      <c r="Z9" s="31">
        <v>4.0</v>
      </c>
      <c r="AA9" s="24">
        <f t="shared" si="5"/>
        <v>11029</v>
      </c>
      <c r="AB9" s="30">
        <v>1213.0</v>
      </c>
      <c r="AC9" s="30">
        <v>3529.0</v>
      </c>
      <c r="AD9" s="30">
        <v>2786.0</v>
      </c>
      <c r="AE9" s="30">
        <v>1914.0</v>
      </c>
      <c r="AF9" s="30">
        <v>1587.0</v>
      </c>
      <c r="AG9" s="24">
        <f t="shared" si="6"/>
        <v>11029</v>
      </c>
      <c r="AH9" s="30">
        <v>4441.0</v>
      </c>
      <c r="AI9" s="30">
        <v>6588.0</v>
      </c>
      <c r="AJ9" s="24">
        <f t="shared" si="7"/>
        <v>11029</v>
      </c>
      <c r="AK9" s="30">
        <v>4275.0</v>
      </c>
      <c r="AL9" s="30">
        <v>6754.0</v>
      </c>
      <c r="AM9" s="24">
        <f t="shared" si="8"/>
        <v>11029</v>
      </c>
      <c r="AN9" s="30">
        <v>11029.0</v>
      </c>
      <c r="AO9" s="31">
        <v>0.0</v>
      </c>
      <c r="AP9" s="24">
        <f t="shared" si="9"/>
        <v>11029</v>
      </c>
      <c r="AQ9" s="30">
        <v>8011.0</v>
      </c>
      <c r="AR9" s="30">
        <v>1226.0</v>
      </c>
      <c r="AS9" s="30">
        <v>0.0</v>
      </c>
      <c r="AT9" s="30">
        <v>0.0</v>
      </c>
      <c r="AU9" s="31">
        <v>1792.0</v>
      </c>
      <c r="AV9" s="24">
        <f t="shared" si="10"/>
        <v>11029</v>
      </c>
      <c r="AW9" s="29">
        <f t="shared" si="11"/>
        <v>1792</v>
      </c>
      <c r="AX9" s="30">
        <v>8020.0</v>
      </c>
      <c r="AY9" s="31">
        <v>1217.0</v>
      </c>
      <c r="AZ9" s="24">
        <f t="shared" si="12"/>
        <v>11029</v>
      </c>
      <c r="BA9" s="30">
        <v>4754.0</v>
      </c>
      <c r="BB9" s="30">
        <v>743.0</v>
      </c>
      <c r="BC9" s="30">
        <v>94.0</v>
      </c>
      <c r="BD9" s="30">
        <v>0.0</v>
      </c>
      <c r="BE9" s="30">
        <v>0.0</v>
      </c>
      <c r="BF9" s="30">
        <v>38.0</v>
      </c>
      <c r="BG9" s="30">
        <v>0.0</v>
      </c>
      <c r="BH9" s="31">
        <v>2.0</v>
      </c>
      <c r="BI9" s="24">
        <f t="shared" si="13"/>
        <v>5631</v>
      </c>
      <c r="BJ9" s="30">
        <v>188.0</v>
      </c>
      <c r="BK9" s="30">
        <v>367.0</v>
      </c>
      <c r="BL9" s="30">
        <v>103.0</v>
      </c>
      <c r="BM9" s="30">
        <v>49.0</v>
      </c>
      <c r="BN9" s="30">
        <v>578.0</v>
      </c>
      <c r="BO9" s="30">
        <v>0.0</v>
      </c>
      <c r="BP9" s="31">
        <v>4346.0</v>
      </c>
      <c r="BQ9" s="24">
        <f t="shared" si="14"/>
        <v>5631</v>
      </c>
      <c r="BR9" s="32">
        <v>308.0</v>
      </c>
      <c r="BS9" s="30">
        <v>46.0</v>
      </c>
      <c r="BT9" s="31">
        <v>11122.0</v>
      </c>
      <c r="BU9" s="24">
        <f t="shared" si="15"/>
        <v>11476</v>
      </c>
    </row>
    <row r="10" ht="21.0" customHeight="1">
      <c r="A10" s="24" t="s">
        <v>77</v>
      </c>
      <c r="B10" s="33">
        <v>4389.0</v>
      </c>
      <c r="C10" s="30">
        <v>183.0</v>
      </c>
      <c r="D10" s="31">
        <v>55.0</v>
      </c>
      <c r="E10" s="28">
        <f t="shared" si="1"/>
        <v>4627</v>
      </c>
      <c r="F10" s="30">
        <v>428.0</v>
      </c>
      <c r="G10" s="30">
        <v>938.0</v>
      </c>
      <c r="H10" s="30">
        <v>746.0</v>
      </c>
      <c r="I10" s="30">
        <v>721.0</v>
      </c>
      <c r="J10" s="30">
        <v>703.0</v>
      </c>
      <c r="K10" s="30">
        <v>724.0</v>
      </c>
      <c r="L10" s="31">
        <v>367.0</v>
      </c>
      <c r="M10" s="24">
        <f t="shared" si="2"/>
        <v>4627</v>
      </c>
      <c r="N10" s="30">
        <v>3616.0</v>
      </c>
      <c r="O10" s="31">
        <v>1011.0</v>
      </c>
      <c r="P10" s="24">
        <f t="shared" si="3"/>
        <v>4627</v>
      </c>
      <c r="Q10" s="30">
        <v>4019.0</v>
      </c>
      <c r="R10" s="31">
        <v>608.0</v>
      </c>
      <c r="S10" s="24">
        <f t="shared" si="4"/>
        <v>4627</v>
      </c>
      <c r="T10" s="30">
        <v>9501.0</v>
      </c>
      <c r="U10" s="30">
        <v>71.0</v>
      </c>
      <c r="V10" s="30">
        <v>14.0</v>
      </c>
      <c r="W10" s="30">
        <v>248.0</v>
      </c>
      <c r="X10" s="30">
        <v>51.0</v>
      </c>
      <c r="Y10" s="30">
        <v>67.0</v>
      </c>
      <c r="Z10" s="31">
        <v>2.0</v>
      </c>
      <c r="AA10" s="24">
        <f t="shared" si="5"/>
        <v>9954</v>
      </c>
      <c r="AB10" s="30">
        <v>297.0</v>
      </c>
      <c r="AC10" s="30">
        <v>3385.0</v>
      </c>
      <c r="AD10" s="30">
        <v>2819.0</v>
      </c>
      <c r="AE10" s="30">
        <v>2151.0</v>
      </c>
      <c r="AF10" s="30">
        <v>1302.0</v>
      </c>
      <c r="AG10" s="24">
        <f t="shared" si="6"/>
        <v>9954</v>
      </c>
      <c r="AH10" s="30">
        <v>4198.0</v>
      </c>
      <c r="AI10" s="30">
        <v>5756.0</v>
      </c>
      <c r="AJ10" s="24">
        <f t="shared" si="7"/>
        <v>9954</v>
      </c>
      <c r="AK10" s="30">
        <v>3586.0</v>
      </c>
      <c r="AL10" s="30">
        <v>6368.0</v>
      </c>
      <c r="AM10" s="24">
        <f t="shared" si="8"/>
        <v>9954</v>
      </c>
      <c r="AN10" s="30">
        <v>9954.0</v>
      </c>
      <c r="AO10" s="31">
        <v>0.0</v>
      </c>
      <c r="AP10" s="24">
        <f t="shared" si="9"/>
        <v>9954</v>
      </c>
      <c r="AQ10" s="30">
        <v>8035.0</v>
      </c>
      <c r="AR10" s="30">
        <v>1045.0</v>
      </c>
      <c r="AS10" s="30">
        <v>0.0</v>
      </c>
      <c r="AT10" s="30">
        <v>0.0</v>
      </c>
      <c r="AU10" s="31">
        <v>874.0</v>
      </c>
      <c r="AV10" s="24">
        <f t="shared" si="10"/>
        <v>9954</v>
      </c>
      <c r="AW10" s="29">
        <f t="shared" si="11"/>
        <v>874</v>
      </c>
      <c r="AX10" s="30">
        <v>8234.0</v>
      </c>
      <c r="AY10" s="31">
        <v>846.0</v>
      </c>
      <c r="AZ10" s="24">
        <f t="shared" si="12"/>
        <v>9954</v>
      </c>
      <c r="BA10" s="30">
        <v>3939.0</v>
      </c>
      <c r="BB10" s="30">
        <v>551.0</v>
      </c>
      <c r="BC10" s="30">
        <v>89.0</v>
      </c>
      <c r="BD10" s="30">
        <v>1.0</v>
      </c>
      <c r="BE10" s="30">
        <v>3.0</v>
      </c>
      <c r="BF10" s="30">
        <v>37.0</v>
      </c>
      <c r="BG10" s="30">
        <v>5.0</v>
      </c>
      <c r="BH10" s="31">
        <v>2.0</v>
      </c>
      <c r="BI10" s="24">
        <f t="shared" si="13"/>
        <v>4627</v>
      </c>
      <c r="BJ10" s="30">
        <v>71.0</v>
      </c>
      <c r="BK10" s="30">
        <v>224.0</v>
      </c>
      <c r="BL10" s="30">
        <v>71.0</v>
      </c>
      <c r="BM10" s="30">
        <v>76.0</v>
      </c>
      <c r="BN10" s="30">
        <v>449.0</v>
      </c>
      <c r="BO10" s="30">
        <v>0.0</v>
      </c>
      <c r="BP10" s="31">
        <v>3736.0</v>
      </c>
      <c r="BQ10" s="24">
        <f t="shared" si="14"/>
        <v>4627</v>
      </c>
      <c r="BR10" s="32">
        <v>297.0</v>
      </c>
      <c r="BS10" s="30">
        <v>73.0</v>
      </c>
      <c r="BT10" s="31">
        <v>10012.0</v>
      </c>
      <c r="BU10" s="24">
        <f t="shared" si="15"/>
        <v>10382</v>
      </c>
    </row>
    <row r="11" ht="21.0" customHeight="1">
      <c r="A11" s="24" t="s">
        <v>78</v>
      </c>
      <c r="B11" s="33">
        <v>4440.0</v>
      </c>
      <c r="C11" s="30">
        <v>181.0</v>
      </c>
      <c r="D11" s="31">
        <v>38.0</v>
      </c>
      <c r="E11" s="28">
        <f t="shared" si="1"/>
        <v>4659</v>
      </c>
      <c r="F11" s="30">
        <v>428.0</v>
      </c>
      <c r="G11" s="30">
        <v>947.0</v>
      </c>
      <c r="H11" s="30">
        <v>748.0</v>
      </c>
      <c r="I11" s="30">
        <v>702.0</v>
      </c>
      <c r="J11" s="30">
        <v>701.0</v>
      </c>
      <c r="K11" s="30">
        <v>776.0</v>
      </c>
      <c r="L11" s="31">
        <v>357.0</v>
      </c>
      <c r="M11" s="24">
        <f t="shared" si="2"/>
        <v>4659</v>
      </c>
      <c r="N11" s="30">
        <v>3560.0</v>
      </c>
      <c r="O11" s="31">
        <v>1099.0</v>
      </c>
      <c r="P11" s="24">
        <f t="shared" si="3"/>
        <v>4659</v>
      </c>
      <c r="Q11" s="30">
        <v>4114.0</v>
      </c>
      <c r="R11" s="31">
        <v>545.0</v>
      </c>
      <c r="S11" s="24">
        <f t="shared" si="4"/>
        <v>4659</v>
      </c>
      <c r="T11" s="30">
        <v>8825.0</v>
      </c>
      <c r="U11" s="30">
        <v>56.0</v>
      </c>
      <c r="V11" s="30">
        <v>9.0</v>
      </c>
      <c r="W11" s="30">
        <v>207.0</v>
      </c>
      <c r="X11" s="30">
        <v>53.0</v>
      </c>
      <c r="Y11" s="30">
        <v>72.0</v>
      </c>
      <c r="Z11" s="31">
        <v>3.0</v>
      </c>
      <c r="AA11" s="24">
        <f t="shared" si="5"/>
        <v>9225</v>
      </c>
      <c r="AB11" s="30">
        <v>253.0</v>
      </c>
      <c r="AC11" s="30">
        <v>3322.0</v>
      </c>
      <c r="AD11" s="30">
        <v>2723.0</v>
      </c>
      <c r="AE11" s="30">
        <v>1967.0</v>
      </c>
      <c r="AF11" s="30">
        <v>960.0</v>
      </c>
      <c r="AG11" s="24">
        <f t="shared" si="6"/>
        <v>9225</v>
      </c>
      <c r="AH11" s="30">
        <v>4130.0</v>
      </c>
      <c r="AI11" s="30">
        <v>5095.0</v>
      </c>
      <c r="AJ11" s="24">
        <f t="shared" si="7"/>
        <v>9225</v>
      </c>
      <c r="AK11" s="30">
        <v>3328.0</v>
      </c>
      <c r="AL11" s="30">
        <v>5897.0</v>
      </c>
      <c r="AM11" s="24">
        <f t="shared" si="8"/>
        <v>9225</v>
      </c>
      <c r="AN11" s="30">
        <v>9225.0</v>
      </c>
      <c r="AO11" s="31">
        <v>0.0</v>
      </c>
      <c r="AP11" s="24">
        <f t="shared" si="9"/>
        <v>9225</v>
      </c>
      <c r="AQ11" s="30">
        <v>7576.0</v>
      </c>
      <c r="AR11" s="30">
        <v>988.0</v>
      </c>
      <c r="AS11" s="30">
        <v>0.0</v>
      </c>
      <c r="AT11" s="30">
        <v>2.0</v>
      </c>
      <c r="AU11" s="31">
        <v>659.0</v>
      </c>
      <c r="AV11" s="24">
        <f t="shared" si="10"/>
        <v>9225</v>
      </c>
      <c r="AW11" s="29">
        <f t="shared" si="11"/>
        <v>659</v>
      </c>
      <c r="AX11" s="30">
        <v>7541.0</v>
      </c>
      <c r="AY11" s="31">
        <v>1025.0</v>
      </c>
      <c r="AZ11" s="24">
        <f t="shared" si="12"/>
        <v>9225</v>
      </c>
      <c r="BA11" s="30">
        <v>4097.0</v>
      </c>
      <c r="BB11" s="30">
        <v>489.0</v>
      </c>
      <c r="BC11" s="30">
        <v>42.0</v>
      </c>
      <c r="BD11" s="30">
        <v>0.0</v>
      </c>
      <c r="BE11" s="30">
        <v>0.0</v>
      </c>
      <c r="BF11" s="30">
        <v>28.0</v>
      </c>
      <c r="BG11" s="30">
        <v>0.0</v>
      </c>
      <c r="BH11" s="31">
        <v>3.0</v>
      </c>
      <c r="BI11" s="24">
        <f t="shared" si="13"/>
        <v>4659</v>
      </c>
      <c r="BJ11" s="30">
        <v>85.0</v>
      </c>
      <c r="BK11" s="30">
        <v>175.0</v>
      </c>
      <c r="BL11" s="30">
        <v>65.0</v>
      </c>
      <c r="BM11" s="30">
        <v>62.0</v>
      </c>
      <c r="BN11" s="30">
        <v>446.0</v>
      </c>
      <c r="BO11" s="30">
        <v>0.0</v>
      </c>
      <c r="BP11" s="31">
        <v>3826.0</v>
      </c>
      <c r="BQ11" s="24">
        <f t="shared" si="14"/>
        <v>4659</v>
      </c>
      <c r="BR11" s="32">
        <v>308.0</v>
      </c>
      <c r="BS11" s="30">
        <v>47.0</v>
      </c>
      <c r="BT11" s="31">
        <v>10750.0</v>
      </c>
      <c r="BU11" s="24">
        <f t="shared" si="15"/>
        <v>11105</v>
      </c>
    </row>
    <row r="12" ht="21.0" customHeight="1">
      <c r="A12" s="24" t="s">
        <v>79</v>
      </c>
      <c r="B12" s="33">
        <v>4779.0</v>
      </c>
      <c r="C12" s="30">
        <v>179.0</v>
      </c>
      <c r="D12" s="31">
        <v>35.0</v>
      </c>
      <c r="E12" s="28">
        <f t="shared" si="1"/>
        <v>4993</v>
      </c>
      <c r="F12" s="30">
        <v>401.0</v>
      </c>
      <c r="G12" s="30">
        <v>1010.0</v>
      </c>
      <c r="H12" s="30">
        <v>723.0</v>
      </c>
      <c r="I12" s="30">
        <v>713.0</v>
      </c>
      <c r="J12" s="30">
        <v>751.0</v>
      </c>
      <c r="K12" s="30">
        <v>997.0</v>
      </c>
      <c r="L12" s="31">
        <v>398.0</v>
      </c>
      <c r="M12" s="24">
        <f t="shared" si="2"/>
        <v>4993</v>
      </c>
      <c r="N12" s="30">
        <v>4568.0</v>
      </c>
      <c r="O12" s="31">
        <v>425.0</v>
      </c>
      <c r="P12" s="24">
        <f t="shared" si="3"/>
        <v>4993</v>
      </c>
      <c r="Q12" s="30">
        <v>4805.0</v>
      </c>
      <c r="R12" s="31">
        <v>188.0</v>
      </c>
      <c r="S12" s="24">
        <f t="shared" si="4"/>
        <v>4993</v>
      </c>
      <c r="T12" s="30">
        <v>8952.0</v>
      </c>
      <c r="U12" s="30">
        <v>722.0</v>
      </c>
      <c r="V12" s="30">
        <v>9.0</v>
      </c>
      <c r="W12" s="30">
        <v>851.0</v>
      </c>
      <c r="X12" s="30">
        <v>89.0</v>
      </c>
      <c r="Y12" s="30">
        <v>128.0</v>
      </c>
      <c r="Z12" s="31">
        <v>5.0</v>
      </c>
      <c r="AA12" s="24">
        <f t="shared" si="5"/>
        <v>10756</v>
      </c>
      <c r="AB12" s="30">
        <v>1128.0</v>
      </c>
      <c r="AC12" s="30">
        <v>2654.0</v>
      </c>
      <c r="AD12" s="30">
        <v>3484.0</v>
      </c>
      <c r="AE12" s="30">
        <v>1989.0</v>
      </c>
      <c r="AF12" s="30">
        <v>1431.0</v>
      </c>
      <c r="AG12" s="24">
        <f t="shared" si="6"/>
        <v>10686</v>
      </c>
      <c r="AH12" s="30">
        <v>4641.0</v>
      </c>
      <c r="AI12" s="30">
        <v>6045.0</v>
      </c>
      <c r="AJ12" s="24">
        <f t="shared" si="7"/>
        <v>10686</v>
      </c>
      <c r="AK12" s="30">
        <v>3834.0</v>
      </c>
      <c r="AL12" s="30">
        <v>6852.0</v>
      </c>
      <c r="AM12" s="24">
        <f t="shared" si="8"/>
        <v>10686</v>
      </c>
      <c r="AN12" s="30">
        <v>10686.0</v>
      </c>
      <c r="AO12" s="31">
        <v>0.0</v>
      </c>
      <c r="AP12" s="24">
        <f t="shared" si="9"/>
        <v>10686</v>
      </c>
      <c r="AQ12" s="30">
        <v>7604.0</v>
      </c>
      <c r="AR12" s="30">
        <v>1128.0</v>
      </c>
      <c r="AS12" s="30">
        <v>0.0</v>
      </c>
      <c r="AT12" s="30">
        <v>0.0</v>
      </c>
      <c r="AU12" s="31">
        <v>1954.0</v>
      </c>
      <c r="AV12" s="24">
        <f t="shared" si="10"/>
        <v>10686</v>
      </c>
      <c r="AW12" s="29">
        <f t="shared" si="11"/>
        <v>1954</v>
      </c>
      <c r="AX12" s="30">
        <v>7614.0</v>
      </c>
      <c r="AY12" s="31">
        <v>1118.0</v>
      </c>
      <c r="AZ12" s="24">
        <f t="shared" si="12"/>
        <v>10686</v>
      </c>
      <c r="BA12" s="30">
        <v>4231.0</v>
      </c>
      <c r="BB12" s="30">
        <v>648.0</v>
      </c>
      <c r="BC12" s="30">
        <v>79.0</v>
      </c>
      <c r="BD12" s="30">
        <v>0.0</v>
      </c>
      <c r="BE12" s="30">
        <v>0.0</v>
      </c>
      <c r="BF12" s="30">
        <v>35.0</v>
      </c>
      <c r="BG12" s="30">
        <v>0.0</v>
      </c>
      <c r="BH12" s="31">
        <v>0.0</v>
      </c>
      <c r="BI12" s="24">
        <f t="shared" si="13"/>
        <v>4993</v>
      </c>
      <c r="BJ12" s="30">
        <v>205.0</v>
      </c>
      <c r="BK12" s="30">
        <v>312.0</v>
      </c>
      <c r="BL12" s="30">
        <v>142.0</v>
      </c>
      <c r="BM12" s="30">
        <v>24.0</v>
      </c>
      <c r="BN12" s="30">
        <v>482.0</v>
      </c>
      <c r="BO12" s="30">
        <v>0.0</v>
      </c>
      <c r="BP12" s="31">
        <v>3828.0</v>
      </c>
      <c r="BQ12" s="24">
        <f t="shared" si="14"/>
        <v>4993</v>
      </c>
      <c r="BR12" s="32">
        <v>303.0</v>
      </c>
      <c r="BS12" s="30">
        <v>49.0</v>
      </c>
      <c r="BT12" s="31">
        <v>10784.0</v>
      </c>
      <c r="BU12" s="24">
        <f t="shared" si="15"/>
        <v>11136</v>
      </c>
    </row>
    <row r="13" ht="21.0" customHeight="1">
      <c r="A13" s="24" t="s">
        <v>80</v>
      </c>
      <c r="B13" s="35">
        <v>4035.0</v>
      </c>
      <c r="C13" s="36">
        <v>166.0</v>
      </c>
      <c r="D13" s="37">
        <v>46.0</v>
      </c>
      <c r="E13" s="28">
        <f t="shared" si="1"/>
        <v>4247</v>
      </c>
      <c r="F13" s="36">
        <v>468.0</v>
      </c>
      <c r="G13" s="36">
        <v>771.0</v>
      </c>
      <c r="H13" s="36">
        <v>613.0</v>
      </c>
      <c r="I13" s="36">
        <v>655.0</v>
      </c>
      <c r="J13" s="36">
        <v>643.0</v>
      </c>
      <c r="K13" s="36">
        <v>759.0</v>
      </c>
      <c r="L13" s="37">
        <v>338.0</v>
      </c>
      <c r="M13" s="24">
        <f t="shared" si="2"/>
        <v>4247</v>
      </c>
      <c r="N13" s="36">
        <v>3849.0</v>
      </c>
      <c r="O13" s="37">
        <v>398.0</v>
      </c>
      <c r="P13" s="24">
        <f t="shared" si="3"/>
        <v>4247</v>
      </c>
      <c r="Q13" s="30">
        <v>3829.0</v>
      </c>
      <c r="R13" s="31">
        <v>418.0</v>
      </c>
      <c r="S13" s="24">
        <f t="shared" si="4"/>
        <v>4247</v>
      </c>
      <c r="T13" s="30">
        <v>7330.0</v>
      </c>
      <c r="U13" s="30">
        <v>508.0</v>
      </c>
      <c r="V13" s="30">
        <v>7.0</v>
      </c>
      <c r="W13" s="30">
        <v>629.0</v>
      </c>
      <c r="X13" s="30">
        <v>6.0</v>
      </c>
      <c r="Y13" s="30">
        <v>136.0</v>
      </c>
      <c r="Z13" s="31">
        <v>6.0</v>
      </c>
      <c r="AA13" s="24">
        <f t="shared" si="5"/>
        <v>8622</v>
      </c>
      <c r="AB13" s="30">
        <v>988.0</v>
      </c>
      <c r="AC13" s="30">
        <v>2442.0</v>
      </c>
      <c r="AD13" s="30">
        <v>2156.0</v>
      </c>
      <c r="AE13" s="30">
        <v>1745.0</v>
      </c>
      <c r="AF13" s="30">
        <v>1291.0</v>
      </c>
      <c r="AG13" s="24">
        <f t="shared" si="6"/>
        <v>8622</v>
      </c>
      <c r="AH13" s="30">
        <v>3722.0</v>
      </c>
      <c r="AI13" s="30">
        <v>4900.0</v>
      </c>
      <c r="AJ13" s="24">
        <f t="shared" si="7"/>
        <v>8622</v>
      </c>
      <c r="AK13" s="30">
        <v>3644.0</v>
      </c>
      <c r="AL13" s="30">
        <v>4978.0</v>
      </c>
      <c r="AM13" s="24">
        <f t="shared" si="8"/>
        <v>8622</v>
      </c>
      <c r="AN13" s="30">
        <v>8622.0</v>
      </c>
      <c r="AO13" s="31">
        <v>0.0</v>
      </c>
      <c r="AP13" s="24">
        <f t="shared" si="9"/>
        <v>8622</v>
      </c>
      <c r="AQ13" s="30">
        <v>6477.0</v>
      </c>
      <c r="AR13" s="30">
        <v>1015.0</v>
      </c>
      <c r="AS13" s="30">
        <v>0.0</v>
      </c>
      <c r="AT13" s="30">
        <v>2.0</v>
      </c>
      <c r="AU13" s="31">
        <v>1128.0</v>
      </c>
      <c r="AV13" s="24">
        <f t="shared" si="10"/>
        <v>8622</v>
      </c>
      <c r="AW13" s="29">
        <f t="shared" si="11"/>
        <v>1128</v>
      </c>
      <c r="AX13" s="30">
        <v>6468.0</v>
      </c>
      <c r="AY13" s="31">
        <v>1026.0</v>
      </c>
      <c r="AZ13" s="24">
        <f t="shared" si="12"/>
        <v>8622</v>
      </c>
      <c r="BA13" s="30">
        <v>3588.0</v>
      </c>
      <c r="BB13" s="30">
        <v>547.0</v>
      </c>
      <c r="BC13" s="30">
        <v>61.0</v>
      </c>
      <c r="BD13" s="30">
        <v>0.0</v>
      </c>
      <c r="BE13" s="30">
        <v>0.0</v>
      </c>
      <c r="BF13" s="30">
        <v>48.0</v>
      </c>
      <c r="BG13" s="30">
        <v>0.0</v>
      </c>
      <c r="BH13" s="31">
        <v>3.0</v>
      </c>
      <c r="BI13" s="24">
        <f t="shared" si="13"/>
        <v>4247</v>
      </c>
      <c r="BJ13" s="36">
        <v>114.0</v>
      </c>
      <c r="BK13" s="36">
        <v>428.0</v>
      </c>
      <c r="BL13" s="36">
        <v>133.0</v>
      </c>
      <c r="BM13" s="36">
        <v>58.0</v>
      </c>
      <c r="BN13" s="36">
        <v>339.0</v>
      </c>
      <c r="BO13" s="36">
        <v>0.0</v>
      </c>
      <c r="BP13" s="37">
        <v>3175.0</v>
      </c>
      <c r="BQ13" s="38">
        <f t="shared" si="14"/>
        <v>4247</v>
      </c>
      <c r="BR13" s="39">
        <v>282.0</v>
      </c>
      <c r="BS13" s="36">
        <v>60.0</v>
      </c>
      <c r="BT13" s="37">
        <v>8715.0</v>
      </c>
      <c r="BU13" s="38">
        <f t="shared" si="15"/>
        <v>9057</v>
      </c>
    </row>
    <row r="14" ht="21.0" customHeight="1">
      <c r="A14" s="24" t="s">
        <v>47</v>
      </c>
      <c r="B14" s="40">
        <f t="shared" ref="B14:L14" si="16">SUM(B2:B13)</f>
        <v>59819</v>
      </c>
      <c r="C14" s="41">
        <f t="shared" si="16"/>
        <v>2338</v>
      </c>
      <c r="D14" s="41">
        <f t="shared" si="16"/>
        <v>493</v>
      </c>
      <c r="E14" s="42">
        <f t="shared" si="16"/>
        <v>62650</v>
      </c>
      <c r="F14" s="41">
        <f t="shared" si="16"/>
        <v>6111</v>
      </c>
      <c r="G14" s="41">
        <f t="shared" si="16"/>
        <v>12557</v>
      </c>
      <c r="H14" s="41">
        <f t="shared" si="16"/>
        <v>9736</v>
      </c>
      <c r="I14" s="41">
        <f t="shared" si="16"/>
        <v>9591</v>
      </c>
      <c r="J14" s="41">
        <f t="shared" si="16"/>
        <v>9154</v>
      </c>
      <c r="K14" s="41">
        <f t="shared" si="16"/>
        <v>10569</v>
      </c>
      <c r="L14" s="41">
        <f t="shared" si="16"/>
        <v>4932</v>
      </c>
      <c r="M14" s="24">
        <f t="shared" si="2"/>
        <v>62650</v>
      </c>
      <c r="N14" s="41">
        <f t="shared" ref="N14:BU14" si="17">SUM(N2:N13)</f>
        <v>55199</v>
      </c>
      <c r="O14" s="41">
        <f t="shared" si="17"/>
        <v>7451</v>
      </c>
      <c r="P14" s="24">
        <f t="shared" si="17"/>
        <v>62650</v>
      </c>
      <c r="Q14" s="41">
        <f t="shared" si="17"/>
        <v>56222</v>
      </c>
      <c r="R14" s="43">
        <f t="shared" si="17"/>
        <v>6428</v>
      </c>
      <c r="S14" s="24">
        <f t="shared" si="17"/>
        <v>62650</v>
      </c>
      <c r="T14" s="41">
        <f t="shared" si="17"/>
        <v>110037</v>
      </c>
      <c r="U14" s="41">
        <f t="shared" si="17"/>
        <v>7034</v>
      </c>
      <c r="V14" s="41">
        <f t="shared" si="17"/>
        <v>190</v>
      </c>
      <c r="W14" s="41">
        <f t="shared" si="17"/>
        <v>9801</v>
      </c>
      <c r="X14" s="41">
        <f t="shared" si="17"/>
        <v>509</v>
      </c>
      <c r="Y14" s="41">
        <f t="shared" si="17"/>
        <v>1308</v>
      </c>
      <c r="Z14" s="41">
        <f t="shared" si="17"/>
        <v>62</v>
      </c>
      <c r="AA14" s="24">
        <f t="shared" si="17"/>
        <v>128941</v>
      </c>
      <c r="AB14" s="24">
        <f t="shared" si="17"/>
        <v>9233</v>
      </c>
      <c r="AC14" s="41">
        <f t="shared" si="17"/>
        <v>41762</v>
      </c>
      <c r="AD14" s="41">
        <f t="shared" si="17"/>
        <v>34948</v>
      </c>
      <c r="AE14" s="41">
        <f t="shared" si="17"/>
        <v>25526</v>
      </c>
      <c r="AF14" s="41">
        <f t="shared" si="17"/>
        <v>17402</v>
      </c>
      <c r="AG14" s="24">
        <f t="shared" si="17"/>
        <v>128871</v>
      </c>
      <c r="AH14" s="41">
        <f t="shared" si="17"/>
        <v>55496</v>
      </c>
      <c r="AI14" s="41">
        <f t="shared" si="17"/>
        <v>73375</v>
      </c>
      <c r="AJ14" s="24">
        <f t="shared" si="17"/>
        <v>128871</v>
      </c>
      <c r="AK14" s="41">
        <f t="shared" si="17"/>
        <v>50164</v>
      </c>
      <c r="AL14" s="41">
        <f t="shared" si="17"/>
        <v>78707</v>
      </c>
      <c r="AM14" s="24">
        <f t="shared" si="17"/>
        <v>128871</v>
      </c>
      <c r="AN14" s="41">
        <f t="shared" si="17"/>
        <v>128871</v>
      </c>
      <c r="AO14" s="43">
        <f t="shared" si="17"/>
        <v>0</v>
      </c>
      <c r="AP14" s="24">
        <f t="shared" si="17"/>
        <v>128871</v>
      </c>
      <c r="AQ14" s="41">
        <f t="shared" si="17"/>
        <v>96568</v>
      </c>
      <c r="AR14" s="41">
        <f t="shared" si="17"/>
        <v>16151</v>
      </c>
      <c r="AS14" s="41">
        <f t="shared" si="17"/>
        <v>0</v>
      </c>
      <c r="AT14" s="41">
        <f t="shared" si="17"/>
        <v>4</v>
      </c>
      <c r="AU14" s="43">
        <f t="shared" si="17"/>
        <v>16148</v>
      </c>
      <c r="AV14" s="24">
        <f t="shared" si="17"/>
        <v>128871</v>
      </c>
      <c r="AW14" s="40">
        <f t="shared" si="17"/>
        <v>16148</v>
      </c>
      <c r="AX14" s="41">
        <f t="shared" si="17"/>
        <v>96034</v>
      </c>
      <c r="AY14" s="43">
        <f t="shared" si="17"/>
        <v>16689</v>
      </c>
      <c r="AZ14" s="24">
        <f t="shared" si="17"/>
        <v>128871</v>
      </c>
      <c r="BA14" s="44">
        <f t="shared" si="17"/>
        <v>54374</v>
      </c>
      <c r="BB14" s="44">
        <f t="shared" si="17"/>
        <v>6819</v>
      </c>
      <c r="BC14" s="44">
        <f t="shared" si="17"/>
        <v>973</v>
      </c>
      <c r="BD14" s="44">
        <f t="shared" si="17"/>
        <v>2</v>
      </c>
      <c r="BE14" s="44">
        <f t="shared" si="17"/>
        <v>3</v>
      </c>
      <c r="BF14" s="44">
        <f t="shared" si="17"/>
        <v>438</v>
      </c>
      <c r="BG14" s="44">
        <f t="shared" si="17"/>
        <v>23</v>
      </c>
      <c r="BH14" s="44">
        <f t="shared" si="17"/>
        <v>18</v>
      </c>
      <c r="BI14" s="24">
        <f t="shared" si="17"/>
        <v>62650</v>
      </c>
      <c r="BJ14" s="24">
        <f t="shared" si="17"/>
        <v>1579</v>
      </c>
      <c r="BK14" s="24">
        <f t="shared" si="17"/>
        <v>4044</v>
      </c>
      <c r="BL14" s="24">
        <f t="shared" si="17"/>
        <v>926</v>
      </c>
      <c r="BM14" s="24">
        <f t="shared" si="17"/>
        <v>438</v>
      </c>
      <c r="BN14" s="24">
        <f t="shared" si="17"/>
        <v>5859</v>
      </c>
      <c r="BO14" s="24">
        <f t="shared" si="17"/>
        <v>0</v>
      </c>
      <c r="BP14" s="24">
        <f t="shared" si="17"/>
        <v>49804</v>
      </c>
      <c r="BQ14" s="24">
        <f t="shared" si="17"/>
        <v>62650</v>
      </c>
      <c r="BR14" s="42">
        <f t="shared" si="17"/>
        <v>3715</v>
      </c>
      <c r="BS14" s="24">
        <f t="shared" si="17"/>
        <v>630</v>
      </c>
      <c r="BT14" s="24">
        <f t="shared" si="17"/>
        <v>131607</v>
      </c>
      <c r="BU14" s="24">
        <f t="shared" si="17"/>
        <v>135952</v>
      </c>
    </row>
    <row r="15" ht="12.75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3" width="8.0"/>
  </cols>
  <sheetData>
    <row r="1" ht="124.5" customHeight="1">
      <c r="A1" s="2" t="s">
        <v>1</v>
      </c>
      <c r="B1" s="3" t="s">
        <v>2</v>
      </c>
      <c r="C1" s="3" t="s">
        <v>3</v>
      </c>
      <c r="D1" s="4" t="s">
        <v>4</v>
      </c>
      <c r="E1" s="5" t="s">
        <v>5</v>
      </c>
      <c r="F1" s="2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6" t="s">
        <v>13</v>
      </c>
      <c r="N1" s="2" t="s">
        <v>14</v>
      </c>
      <c r="O1" s="3" t="s">
        <v>15</v>
      </c>
      <c r="P1" s="6" t="s">
        <v>16</v>
      </c>
      <c r="Q1" s="2" t="s">
        <v>17</v>
      </c>
      <c r="R1" s="3" t="s">
        <v>18</v>
      </c>
      <c r="S1" s="6" t="s">
        <v>19</v>
      </c>
      <c r="T1" s="2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6" t="s">
        <v>27</v>
      </c>
      <c r="AB1" s="2">
        <v>-18.0</v>
      </c>
      <c r="AC1" s="3" t="s">
        <v>28</v>
      </c>
      <c r="AD1" s="3" t="s">
        <v>29</v>
      </c>
      <c r="AE1" s="3" t="s">
        <v>30</v>
      </c>
      <c r="AF1" s="3" t="s">
        <v>31</v>
      </c>
      <c r="AG1" s="6" t="s">
        <v>32</v>
      </c>
      <c r="AH1" s="2" t="s">
        <v>33</v>
      </c>
      <c r="AI1" s="3" t="s">
        <v>34</v>
      </c>
      <c r="AJ1" s="6" t="s">
        <v>35</v>
      </c>
      <c r="AK1" s="2" t="s">
        <v>36</v>
      </c>
      <c r="AL1" s="3" t="s">
        <v>37</v>
      </c>
      <c r="AM1" s="6" t="s">
        <v>38</v>
      </c>
      <c r="AN1" s="2" t="s">
        <v>39</v>
      </c>
      <c r="AO1" s="3" t="s">
        <v>40</v>
      </c>
      <c r="AP1" s="6" t="s">
        <v>41</v>
      </c>
      <c r="AQ1" s="2" t="s">
        <v>42</v>
      </c>
      <c r="AR1" s="3" t="s">
        <v>43</v>
      </c>
      <c r="AS1" s="3" t="s">
        <v>44</v>
      </c>
      <c r="AT1" s="3" t="s">
        <v>45</v>
      </c>
      <c r="AU1" s="7" t="s">
        <v>46</v>
      </c>
      <c r="AV1" s="8" t="s">
        <v>47</v>
      </c>
      <c r="AW1" s="9" t="s">
        <v>46</v>
      </c>
      <c r="AX1" s="3" t="s">
        <v>48</v>
      </c>
      <c r="AY1" s="3" t="s">
        <v>49</v>
      </c>
      <c r="AZ1" s="10" t="s">
        <v>47</v>
      </c>
      <c r="BA1" s="11" t="s">
        <v>50</v>
      </c>
      <c r="BB1" s="12" t="s">
        <v>51</v>
      </c>
      <c r="BC1" s="12" t="s">
        <v>52</v>
      </c>
      <c r="BD1" s="12" t="s">
        <v>53</v>
      </c>
      <c r="BE1" s="13" t="s">
        <v>54</v>
      </c>
      <c r="BF1" s="14" t="s">
        <v>55</v>
      </c>
      <c r="BG1" s="14" t="s">
        <v>56</v>
      </c>
      <c r="BH1" s="15" t="s">
        <v>57</v>
      </c>
      <c r="BI1" s="16" t="s">
        <v>47</v>
      </c>
      <c r="BJ1" s="16" t="s">
        <v>58</v>
      </c>
      <c r="BK1" s="17" t="s">
        <v>59</v>
      </c>
      <c r="BL1" s="18" t="s">
        <v>60</v>
      </c>
      <c r="BM1" s="18" t="s">
        <v>61</v>
      </c>
      <c r="BN1" s="18" t="s">
        <v>62</v>
      </c>
      <c r="BO1" s="18" t="s">
        <v>63</v>
      </c>
      <c r="BP1" s="18" t="s">
        <v>26</v>
      </c>
      <c r="BQ1" s="19" t="s">
        <v>64</v>
      </c>
      <c r="BR1" s="20" t="s">
        <v>65</v>
      </c>
      <c r="BS1" s="21" t="s">
        <v>66</v>
      </c>
      <c r="BT1" s="18" t="s">
        <v>67</v>
      </c>
      <c r="BU1" s="22" t="s">
        <v>68</v>
      </c>
    </row>
    <row r="2" ht="21.0" customHeight="1">
      <c r="A2" s="24" t="s">
        <v>69</v>
      </c>
      <c r="B2" s="25">
        <v>772.0</v>
      </c>
      <c r="C2" s="26">
        <v>321.0</v>
      </c>
      <c r="D2" s="27">
        <v>64.0</v>
      </c>
      <c r="E2" s="28">
        <f t="shared" ref="E2:E13" si="1">SUM(B2:D2)</f>
        <v>1157</v>
      </c>
      <c r="F2" s="26">
        <v>167.0</v>
      </c>
      <c r="G2" s="26">
        <v>173.0</v>
      </c>
      <c r="H2" s="26">
        <v>153.0</v>
      </c>
      <c r="I2" s="26">
        <v>142.0</v>
      </c>
      <c r="J2" s="26">
        <v>196.0</v>
      </c>
      <c r="K2" s="26">
        <v>164.0</v>
      </c>
      <c r="L2" s="27">
        <v>162.0</v>
      </c>
      <c r="M2" s="24">
        <f t="shared" ref="M2:M14" si="2">F2+G2+H2+I2+J2+K2+L2</f>
        <v>1157</v>
      </c>
      <c r="N2" s="26">
        <v>520.0</v>
      </c>
      <c r="O2" s="27">
        <v>637.0</v>
      </c>
      <c r="P2" s="24">
        <f t="shared" ref="P2:P13" si="3">SUM(N2:O2)</f>
        <v>1157</v>
      </c>
      <c r="Q2" s="26">
        <v>549.0</v>
      </c>
      <c r="R2" s="27">
        <v>608.0</v>
      </c>
      <c r="S2" s="24">
        <f t="shared" ref="S2:S13" si="4">SUM(Q2:R2)</f>
        <v>1157</v>
      </c>
      <c r="T2" s="26">
        <v>893.0</v>
      </c>
      <c r="U2" s="26">
        <v>250.0</v>
      </c>
      <c r="V2" s="26">
        <v>21.0</v>
      </c>
      <c r="W2" s="26">
        <v>294.0</v>
      </c>
      <c r="X2" s="26">
        <v>155.0</v>
      </c>
      <c r="Y2" s="26">
        <v>27.0</v>
      </c>
      <c r="Z2" s="27">
        <v>60.0</v>
      </c>
      <c r="AA2" s="24">
        <f t="shared" ref="AA2:AA13" si="5">SUM(T2:Z2)</f>
        <v>1700</v>
      </c>
      <c r="AB2" s="26">
        <v>125.0</v>
      </c>
      <c r="AC2" s="26">
        <v>528.0</v>
      </c>
      <c r="AD2" s="26">
        <v>608.0</v>
      </c>
      <c r="AE2" s="26">
        <v>286.0</v>
      </c>
      <c r="AF2" s="26">
        <v>153.0</v>
      </c>
      <c r="AG2" s="24">
        <f t="shared" ref="AG2:AG13" si="6">SUM(AB2:AF2)</f>
        <v>1700</v>
      </c>
      <c r="AH2" s="26">
        <v>1166.0</v>
      </c>
      <c r="AI2" s="26">
        <v>534.0</v>
      </c>
      <c r="AJ2" s="24">
        <f t="shared" ref="AJ2:AJ13" si="7">SUM(AH2:AI2)</f>
        <v>1700</v>
      </c>
      <c r="AK2" s="26">
        <v>1216.0</v>
      </c>
      <c r="AL2" s="26">
        <v>484.0</v>
      </c>
      <c r="AM2" s="24">
        <f t="shared" ref="AM2:AM13" si="8">SUM(AK2:AL2)</f>
        <v>1700</v>
      </c>
      <c r="AN2" s="26">
        <v>1684.0</v>
      </c>
      <c r="AO2" s="27">
        <v>16.0</v>
      </c>
      <c r="AP2" s="24">
        <f t="shared" ref="AP2:AP13" si="9">SUM(AN2:AO2)</f>
        <v>1700</v>
      </c>
      <c r="AQ2" s="26">
        <v>1364.0</v>
      </c>
      <c r="AR2" s="26">
        <v>214.0</v>
      </c>
      <c r="AS2" s="26">
        <v>2.0</v>
      </c>
      <c r="AT2" s="26">
        <v>4.0</v>
      </c>
      <c r="AU2" s="27">
        <v>116.0</v>
      </c>
      <c r="AV2" s="24">
        <f t="shared" ref="AV2:AV13" si="10">SUM(AQ2:AU2)</f>
        <v>1700</v>
      </c>
      <c r="AW2" s="29">
        <f t="shared" ref="AW2:AW13" si="11">AU2</f>
        <v>116</v>
      </c>
      <c r="AX2" s="26">
        <v>1434.0</v>
      </c>
      <c r="AY2" s="27">
        <v>150.0</v>
      </c>
      <c r="AZ2" s="24">
        <f t="shared" ref="AZ2:AZ13" si="12">SUM(AW2:AY2)</f>
        <v>1700</v>
      </c>
      <c r="BA2" s="30">
        <v>618.0</v>
      </c>
      <c r="BB2" s="30">
        <v>213.0</v>
      </c>
      <c r="BC2" s="30">
        <v>33.0</v>
      </c>
      <c r="BD2" s="30">
        <v>27.0</v>
      </c>
      <c r="BE2" s="30">
        <v>1.0</v>
      </c>
      <c r="BF2" s="30">
        <v>97.0</v>
      </c>
      <c r="BG2" s="30">
        <v>95.0</v>
      </c>
      <c r="BH2" s="31">
        <v>73.0</v>
      </c>
      <c r="BI2" s="24">
        <f t="shared" ref="BI2:BI13" si="13">SUM(BA2:BH2)</f>
        <v>1157</v>
      </c>
      <c r="BJ2" s="30">
        <v>0.0</v>
      </c>
      <c r="BK2" s="30">
        <v>24.0</v>
      </c>
      <c r="BL2" s="30">
        <v>86.0</v>
      </c>
      <c r="BM2" s="30">
        <v>5.0</v>
      </c>
      <c r="BN2" s="30">
        <v>266.0</v>
      </c>
      <c r="BO2" s="30">
        <v>0.0</v>
      </c>
      <c r="BP2" s="31">
        <v>776.0</v>
      </c>
      <c r="BQ2" s="24">
        <f t="shared" ref="BQ2:BQ13" si="14">SUM(BJ2:BP2)</f>
        <v>1157</v>
      </c>
      <c r="BR2" s="32">
        <v>437.0</v>
      </c>
      <c r="BS2" s="30">
        <v>67.0</v>
      </c>
      <c r="BT2" s="31">
        <v>1466.0</v>
      </c>
      <c r="BU2" s="24">
        <f t="shared" ref="BU2:BU13" si="15">SUM(BR2:BT2)</f>
        <v>1970</v>
      </c>
    </row>
    <row r="3" ht="21.0" customHeight="1">
      <c r="A3" s="24" t="s">
        <v>70</v>
      </c>
      <c r="B3" s="33">
        <v>936.0</v>
      </c>
      <c r="C3" s="30">
        <v>268.0</v>
      </c>
      <c r="D3" s="31">
        <v>37.0</v>
      </c>
      <c r="E3" s="28">
        <f t="shared" si="1"/>
        <v>1241</v>
      </c>
      <c r="F3" s="30">
        <v>201.0</v>
      </c>
      <c r="G3" s="30">
        <v>175.0</v>
      </c>
      <c r="H3" s="30">
        <v>148.0</v>
      </c>
      <c r="I3" s="30">
        <v>172.0</v>
      </c>
      <c r="J3" s="30">
        <v>225.0</v>
      </c>
      <c r="K3" s="30">
        <v>156.0</v>
      </c>
      <c r="L3" s="31">
        <v>164.0</v>
      </c>
      <c r="M3" s="24">
        <f t="shared" si="2"/>
        <v>1241</v>
      </c>
      <c r="N3" s="30">
        <v>655.0</v>
      </c>
      <c r="O3" s="31">
        <v>586.0</v>
      </c>
      <c r="P3" s="24">
        <f t="shared" si="3"/>
        <v>1241</v>
      </c>
      <c r="Q3" s="30">
        <v>480.0</v>
      </c>
      <c r="R3" s="31">
        <v>761.0</v>
      </c>
      <c r="S3" s="24">
        <f t="shared" si="4"/>
        <v>1241</v>
      </c>
      <c r="T3" s="30">
        <v>777.0</v>
      </c>
      <c r="U3" s="30">
        <v>277.0</v>
      </c>
      <c r="V3" s="30">
        <v>90.0</v>
      </c>
      <c r="W3" s="30">
        <v>467.0</v>
      </c>
      <c r="X3" s="30">
        <v>144.0</v>
      </c>
      <c r="Y3" s="30">
        <v>42.0</v>
      </c>
      <c r="Z3" s="31">
        <v>44.0</v>
      </c>
      <c r="AA3" s="24">
        <f t="shared" si="5"/>
        <v>1841</v>
      </c>
      <c r="AB3" s="30">
        <v>189.0</v>
      </c>
      <c r="AC3" s="30">
        <v>587.0</v>
      </c>
      <c r="AD3" s="30">
        <v>623.0</v>
      </c>
      <c r="AE3" s="30">
        <v>330.0</v>
      </c>
      <c r="AF3" s="30">
        <v>112.0</v>
      </c>
      <c r="AG3" s="24">
        <f t="shared" si="6"/>
        <v>1841</v>
      </c>
      <c r="AH3" s="30">
        <v>1354.0</v>
      </c>
      <c r="AI3" s="30">
        <v>487.0</v>
      </c>
      <c r="AJ3" s="24">
        <f t="shared" si="7"/>
        <v>1841</v>
      </c>
      <c r="AK3" s="30">
        <v>1294.0</v>
      </c>
      <c r="AL3" s="30">
        <v>547.0</v>
      </c>
      <c r="AM3" s="24">
        <f t="shared" si="8"/>
        <v>1841</v>
      </c>
      <c r="AN3" s="30">
        <v>1815.0</v>
      </c>
      <c r="AO3" s="31">
        <v>26.0</v>
      </c>
      <c r="AP3" s="24">
        <f t="shared" si="9"/>
        <v>1841</v>
      </c>
      <c r="AQ3" s="30">
        <v>1402.0</v>
      </c>
      <c r="AR3" s="30">
        <v>331.0</v>
      </c>
      <c r="AS3" s="30">
        <v>6.0</v>
      </c>
      <c r="AT3" s="30">
        <v>2.0</v>
      </c>
      <c r="AU3" s="31">
        <v>100.0</v>
      </c>
      <c r="AV3" s="24">
        <f t="shared" si="10"/>
        <v>1841</v>
      </c>
      <c r="AW3" s="29">
        <f t="shared" si="11"/>
        <v>100</v>
      </c>
      <c r="AX3" s="30">
        <v>1460.0</v>
      </c>
      <c r="AY3" s="31">
        <v>281.0</v>
      </c>
      <c r="AZ3" s="24">
        <f t="shared" si="12"/>
        <v>1841</v>
      </c>
      <c r="BA3" s="30">
        <v>745.0</v>
      </c>
      <c r="BB3" s="30">
        <v>185.0</v>
      </c>
      <c r="BC3" s="30">
        <v>23.0</v>
      </c>
      <c r="BD3" s="30">
        <v>30.0</v>
      </c>
      <c r="BE3" s="30">
        <v>3.0</v>
      </c>
      <c r="BF3" s="30">
        <v>107.0</v>
      </c>
      <c r="BG3" s="30">
        <v>134.0</v>
      </c>
      <c r="BH3" s="31">
        <v>14.0</v>
      </c>
      <c r="BI3" s="24">
        <f t="shared" si="13"/>
        <v>1241</v>
      </c>
      <c r="BJ3" s="30">
        <v>31.0</v>
      </c>
      <c r="BK3" s="30">
        <v>53.0</v>
      </c>
      <c r="BL3" s="30">
        <v>119.0</v>
      </c>
      <c r="BM3" s="30">
        <v>4.0</v>
      </c>
      <c r="BN3" s="30">
        <v>275.0</v>
      </c>
      <c r="BO3" s="30">
        <v>0.0</v>
      </c>
      <c r="BP3" s="31">
        <v>759.0</v>
      </c>
      <c r="BQ3" s="24">
        <f t="shared" si="14"/>
        <v>1241</v>
      </c>
      <c r="BR3" s="32">
        <v>435.0</v>
      </c>
      <c r="BS3" s="30">
        <v>44.0</v>
      </c>
      <c r="BT3" s="31">
        <v>1690.0</v>
      </c>
      <c r="BU3" s="24">
        <f t="shared" si="15"/>
        <v>2169</v>
      </c>
    </row>
    <row r="4" ht="21.0" customHeight="1">
      <c r="A4" s="24" t="s">
        <v>71</v>
      </c>
      <c r="B4" s="33">
        <v>968.0</v>
      </c>
      <c r="C4" s="30">
        <v>315.0</v>
      </c>
      <c r="D4" s="31">
        <v>39.0</v>
      </c>
      <c r="E4" s="28">
        <f t="shared" si="1"/>
        <v>1322</v>
      </c>
      <c r="F4" s="30">
        <v>175.0</v>
      </c>
      <c r="G4" s="30">
        <v>160.0</v>
      </c>
      <c r="H4" s="30">
        <v>215.0</v>
      </c>
      <c r="I4" s="30">
        <v>210.0</v>
      </c>
      <c r="J4" s="30">
        <v>160.0</v>
      </c>
      <c r="K4" s="30">
        <v>199.0</v>
      </c>
      <c r="L4" s="31">
        <v>203.0</v>
      </c>
      <c r="M4" s="24">
        <f t="shared" si="2"/>
        <v>1322</v>
      </c>
      <c r="N4" s="30">
        <v>756.0</v>
      </c>
      <c r="O4" s="31">
        <v>566.0</v>
      </c>
      <c r="P4" s="24">
        <f t="shared" si="3"/>
        <v>1322</v>
      </c>
      <c r="Q4" s="30">
        <v>770.0</v>
      </c>
      <c r="R4" s="31">
        <v>552.0</v>
      </c>
      <c r="S4" s="24">
        <f t="shared" si="4"/>
        <v>1322</v>
      </c>
      <c r="T4" s="30">
        <v>937.0</v>
      </c>
      <c r="U4" s="30">
        <v>267.0</v>
      </c>
      <c r="V4" s="30">
        <v>30.0</v>
      </c>
      <c r="W4" s="30">
        <v>503.0</v>
      </c>
      <c r="X4" s="30">
        <v>162.0</v>
      </c>
      <c r="Y4" s="30">
        <v>31.0</v>
      </c>
      <c r="Z4" s="31">
        <v>26.0</v>
      </c>
      <c r="AA4" s="24">
        <f t="shared" si="5"/>
        <v>1956</v>
      </c>
      <c r="AB4" s="30">
        <v>125.0</v>
      </c>
      <c r="AC4" s="30">
        <v>772.0</v>
      </c>
      <c r="AD4" s="30">
        <v>519.0</v>
      </c>
      <c r="AE4" s="30">
        <v>416.0</v>
      </c>
      <c r="AF4" s="30">
        <v>124.0</v>
      </c>
      <c r="AG4" s="24">
        <f t="shared" si="6"/>
        <v>1956</v>
      </c>
      <c r="AH4" s="30">
        <v>1384.0</v>
      </c>
      <c r="AI4" s="30">
        <v>572.0</v>
      </c>
      <c r="AJ4" s="24">
        <f t="shared" si="7"/>
        <v>1956</v>
      </c>
      <c r="AK4" s="30">
        <v>1404.0</v>
      </c>
      <c r="AL4" s="30">
        <v>552.0</v>
      </c>
      <c r="AM4" s="24">
        <f t="shared" si="8"/>
        <v>1956</v>
      </c>
      <c r="AN4" s="30">
        <v>1918.0</v>
      </c>
      <c r="AO4" s="31">
        <v>38.0</v>
      </c>
      <c r="AP4" s="24">
        <f t="shared" si="9"/>
        <v>1956</v>
      </c>
      <c r="AQ4" s="30">
        <v>1703.0</v>
      </c>
      <c r="AR4" s="30">
        <v>168.0</v>
      </c>
      <c r="AS4" s="30">
        <v>4.0</v>
      </c>
      <c r="AT4" s="30">
        <v>0.0</v>
      </c>
      <c r="AU4" s="31">
        <v>81.0</v>
      </c>
      <c r="AV4" s="24">
        <f t="shared" si="10"/>
        <v>1956</v>
      </c>
      <c r="AW4" s="29">
        <f t="shared" si="11"/>
        <v>81</v>
      </c>
      <c r="AX4" s="30">
        <v>1798.0</v>
      </c>
      <c r="AY4" s="31">
        <v>77.0</v>
      </c>
      <c r="AZ4" s="24">
        <f t="shared" si="12"/>
        <v>1956</v>
      </c>
      <c r="BA4" s="30">
        <v>740.0</v>
      </c>
      <c r="BB4" s="30">
        <v>219.0</v>
      </c>
      <c r="BC4" s="30">
        <v>36.0</v>
      </c>
      <c r="BD4" s="30">
        <v>31.0</v>
      </c>
      <c r="BE4" s="30">
        <v>10.0</v>
      </c>
      <c r="BF4" s="30">
        <v>112.0</v>
      </c>
      <c r="BG4" s="30">
        <v>71.0</v>
      </c>
      <c r="BH4" s="31">
        <v>103.0</v>
      </c>
      <c r="BI4" s="24">
        <f t="shared" si="13"/>
        <v>1322</v>
      </c>
      <c r="BJ4" s="30">
        <v>14.0</v>
      </c>
      <c r="BK4" s="30">
        <v>50.0</v>
      </c>
      <c r="BL4" s="30">
        <v>109.0</v>
      </c>
      <c r="BM4" s="30">
        <v>32.0</v>
      </c>
      <c r="BN4" s="30">
        <v>276.0</v>
      </c>
      <c r="BO4" s="30">
        <v>1.0</v>
      </c>
      <c r="BP4" s="31">
        <v>840.0</v>
      </c>
      <c r="BQ4" s="24">
        <f t="shared" si="14"/>
        <v>1322</v>
      </c>
      <c r="BR4" s="32">
        <v>439.0</v>
      </c>
      <c r="BS4" s="30">
        <v>47.0</v>
      </c>
      <c r="BT4" s="31">
        <v>1734.0</v>
      </c>
      <c r="BU4" s="24">
        <f t="shared" si="15"/>
        <v>2220</v>
      </c>
    </row>
    <row r="5" ht="21.0" customHeight="1">
      <c r="A5" s="24" t="s">
        <v>72</v>
      </c>
      <c r="B5" s="33">
        <v>944.0</v>
      </c>
      <c r="C5" s="30">
        <v>355.0</v>
      </c>
      <c r="D5" s="31">
        <v>37.0</v>
      </c>
      <c r="E5" s="28">
        <f t="shared" si="1"/>
        <v>1336</v>
      </c>
      <c r="F5" s="30">
        <v>184.0</v>
      </c>
      <c r="G5" s="30">
        <v>192.0</v>
      </c>
      <c r="H5" s="30">
        <v>235.0</v>
      </c>
      <c r="I5" s="30">
        <v>180.0</v>
      </c>
      <c r="J5" s="30">
        <v>178.0</v>
      </c>
      <c r="K5" s="30">
        <v>176.0</v>
      </c>
      <c r="L5" s="31">
        <v>191.0</v>
      </c>
      <c r="M5" s="24">
        <f t="shared" si="2"/>
        <v>1336</v>
      </c>
      <c r="N5" s="30">
        <v>768.0</v>
      </c>
      <c r="O5" s="31">
        <v>568.0</v>
      </c>
      <c r="P5" s="24">
        <f t="shared" si="3"/>
        <v>1336</v>
      </c>
      <c r="Q5" s="30">
        <v>721.0</v>
      </c>
      <c r="R5" s="31">
        <v>615.0</v>
      </c>
      <c r="S5" s="24">
        <f t="shared" si="4"/>
        <v>1336</v>
      </c>
      <c r="T5" s="30">
        <v>1032.0</v>
      </c>
      <c r="U5" s="30">
        <v>277.0</v>
      </c>
      <c r="V5" s="30">
        <v>21.0</v>
      </c>
      <c r="W5" s="30">
        <v>348.0</v>
      </c>
      <c r="X5" s="30">
        <v>138.0</v>
      </c>
      <c r="Y5" s="30">
        <v>81.0</v>
      </c>
      <c r="Z5" s="31">
        <v>49.0</v>
      </c>
      <c r="AA5" s="24">
        <f t="shared" si="5"/>
        <v>1946</v>
      </c>
      <c r="AB5" s="30">
        <v>97.0</v>
      </c>
      <c r="AC5" s="30">
        <v>731.0</v>
      </c>
      <c r="AD5" s="30">
        <v>457.0</v>
      </c>
      <c r="AE5" s="30">
        <v>477.0</v>
      </c>
      <c r="AF5" s="30">
        <v>113.0</v>
      </c>
      <c r="AG5" s="24">
        <f t="shared" si="6"/>
        <v>1875</v>
      </c>
      <c r="AH5" s="30">
        <v>1300.0</v>
      </c>
      <c r="AI5" s="30">
        <v>575.0</v>
      </c>
      <c r="AJ5" s="24">
        <f t="shared" si="7"/>
        <v>1875</v>
      </c>
      <c r="AK5" s="30">
        <v>1439.0</v>
      </c>
      <c r="AL5" s="30">
        <v>436.0</v>
      </c>
      <c r="AM5" s="24">
        <f t="shared" si="8"/>
        <v>1875</v>
      </c>
      <c r="AN5" s="30">
        <v>1814.0</v>
      </c>
      <c r="AO5" s="31">
        <v>61.0</v>
      </c>
      <c r="AP5" s="24">
        <f t="shared" si="9"/>
        <v>1875</v>
      </c>
      <c r="AQ5" s="30">
        <v>1616.0</v>
      </c>
      <c r="AR5" s="30">
        <v>151.0</v>
      </c>
      <c r="AS5" s="30">
        <v>7.0</v>
      </c>
      <c r="AT5" s="30">
        <v>2.0</v>
      </c>
      <c r="AU5" s="31">
        <v>99.0</v>
      </c>
      <c r="AV5" s="24">
        <f t="shared" si="10"/>
        <v>1875</v>
      </c>
      <c r="AW5" s="29">
        <f t="shared" si="11"/>
        <v>99</v>
      </c>
      <c r="AX5" s="30">
        <v>1634.0</v>
      </c>
      <c r="AY5" s="31">
        <v>142.0</v>
      </c>
      <c r="AZ5" s="24">
        <f t="shared" si="12"/>
        <v>1875</v>
      </c>
      <c r="BA5" s="30">
        <v>844.0</v>
      </c>
      <c r="BB5" s="30">
        <v>180.0</v>
      </c>
      <c r="BC5" s="30">
        <v>22.0</v>
      </c>
      <c r="BD5" s="30">
        <v>22.0</v>
      </c>
      <c r="BE5" s="30">
        <v>11.0</v>
      </c>
      <c r="BF5" s="30">
        <v>102.0</v>
      </c>
      <c r="BG5" s="30">
        <v>112.0</v>
      </c>
      <c r="BH5" s="31">
        <v>43.0</v>
      </c>
      <c r="BI5" s="24">
        <f t="shared" si="13"/>
        <v>1336</v>
      </c>
      <c r="BJ5" s="30">
        <v>27.0</v>
      </c>
      <c r="BK5" s="30">
        <v>106.0</v>
      </c>
      <c r="BL5" s="30">
        <v>104.0</v>
      </c>
      <c r="BM5" s="30">
        <v>2.0</v>
      </c>
      <c r="BN5" s="30">
        <v>315.0</v>
      </c>
      <c r="BO5" s="30">
        <v>1.0</v>
      </c>
      <c r="BP5" s="31">
        <v>781.0</v>
      </c>
      <c r="BQ5" s="24">
        <f t="shared" si="14"/>
        <v>1336</v>
      </c>
      <c r="BR5" s="32">
        <v>477.0</v>
      </c>
      <c r="BS5" s="30">
        <v>42.0</v>
      </c>
      <c r="BT5" s="31">
        <v>1649.0</v>
      </c>
      <c r="BU5" s="24">
        <f t="shared" si="15"/>
        <v>2168</v>
      </c>
    </row>
    <row r="6" ht="21.0" customHeight="1">
      <c r="A6" s="34" t="s">
        <v>73</v>
      </c>
      <c r="B6" s="33">
        <v>838.0</v>
      </c>
      <c r="C6" s="30">
        <v>318.0</v>
      </c>
      <c r="D6" s="31">
        <v>46.0</v>
      </c>
      <c r="E6" s="28">
        <f t="shared" si="1"/>
        <v>1202</v>
      </c>
      <c r="F6" s="30">
        <v>164.0</v>
      </c>
      <c r="G6" s="30">
        <v>158.0</v>
      </c>
      <c r="H6" s="30">
        <v>162.0</v>
      </c>
      <c r="I6" s="30">
        <v>189.0</v>
      </c>
      <c r="J6" s="30">
        <v>184.0</v>
      </c>
      <c r="K6" s="30">
        <v>171.0</v>
      </c>
      <c r="L6" s="31">
        <v>174.0</v>
      </c>
      <c r="M6" s="24">
        <f t="shared" si="2"/>
        <v>1202</v>
      </c>
      <c r="N6" s="30">
        <v>613.0</v>
      </c>
      <c r="O6" s="31">
        <v>589.0</v>
      </c>
      <c r="P6" s="24">
        <f t="shared" si="3"/>
        <v>1202</v>
      </c>
      <c r="Q6" s="30">
        <v>469.0</v>
      </c>
      <c r="R6" s="31">
        <v>733.0</v>
      </c>
      <c r="S6" s="24">
        <f t="shared" si="4"/>
        <v>1202</v>
      </c>
      <c r="T6" s="30">
        <v>883.0</v>
      </c>
      <c r="U6" s="30">
        <v>273.0</v>
      </c>
      <c r="V6" s="30">
        <v>35.0</v>
      </c>
      <c r="W6" s="30">
        <v>430.0</v>
      </c>
      <c r="X6" s="30">
        <v>165.0</v>
      </c>
      <c r="Y6" s="30">
        <v>54.0</v>
      </c>
      <c r="Z6" s="31">
        <v>42.0</v>
      </c>
      <c r="AA6" s="24">
        <f t="shared" si="5"/>
        <v>1882</v>
      </c>
      <c r="AB6" s="30">
        <v>208.0</v>
      </c>
      <c r="AC6" s="30">
        <v>665.0</v>
      </c>
      <c r="AD6" s="30">
        <v>554.0</v>
      </c>
      <c r="AE6" s="30">
        <v>311.0</v>
      </c>
      <c r="AF6" s="30">
        <v>144.0</v>
      </c>
      <c r="AG6" s="24">
        <f t="shared" si="6"/>
        <v>1882</v>
      </c>
      <c r="AH6" s="30">
        <v>1246.0</v>
      </c>
      <c r="AI6" s="30">
        <v>636.0</v>
      </c>
      <c r="AJ6" s="24">
        <f t="shared" si="7"/>
        <v>1882</v>
      </c>
      <c r="AK6" s="30">
        <v>1296.0</v>
      </c>
      <c r="AL6" s="30">
        <v>586.0</v>
      </c>
      <c r="AM6" s="24">
        <f t="shared" si="8"/>
        <v>1882</v>
      </c>
      <c r="AN6" s="30">
        <v>1783.0</v>
      </c>
      <c r="AO6" s="31">
        <v>99.0</v>
      </c>
      <c r="AP6" s="24">
        <f t="shared" si="9"/>
        <v>1882</v>
      </c>
      <c r="AQ6" s="30">
        <v>1432.0</v>
      </c>
      <c r="AR6" s="30">
        <v>316.0</v>
      </c>
      <c r="AS6" s="30">
        <v>0.0</v>
      </c>
      <c r="AT6" s="30">
        <v>1.0</v>
      </c>
      <c r="AU6" s="31">
        <v>133.0</v>
      </c>
      <c r="AV6" s="24">
        <f t="shared" si="10"/>
        <v>1882</v>
      </c>
      <c r="AW6" s="29">
        <f t="shared" si="11"/>
        <v>133</v>
      </c>
      <c r="AX6" s="30">
        <v>1486.0</v>
      </c>
      <c r="AY6" s="31">
        <v>263.0</v>
      </c>
      <c r="AZ6" s="24">
        <f t="shared" si="12"/>
        <v>1882</v>
      </c>
      <c r="BA6" s="30">
        <v>741.0</v>
      </c>
      <c r="BB6" s="30">
        <v>172.0</v>
      </c>
      <c r="BC6" s="30">
        <v>34.0</v>
      </c>
      <c r="BD6" s="30">
        <v>40.0</v>
      </c>
      <c r="BE6" s="30">
        <v>3.0</v>
      </c>
      <c r="BF6" s="30">
        <v>165.0</v>
      </c>
      <c r="BG6" s="30">
        <v>30.0</v>
      </c>
      <c r="BH6" s="31">
        <v>17.0</v>
      </c>
      <c r="BI6" s="24">
        <f t="shared" si="13"/>
        <v>1202</v>
      </c>
      <c r="BJ6" s="30">
        <v>12.0</v>
      </c>
      <c r="BK6" s="30">
        <v>47.0</v>
      </c>
      <c r="BL6" s="30">
        <v>163.0</v>
      </c>
      <c r="BM6" s="30">
        <v>8.0</v>
      </c>
      <c r="BN6" s="30">
        <v>272.0</v>
      </c>
      <c r="BO6" s="30">
        <v>0.0</v>
      </c>
      <c r="BP6" s="31">
        <v>700.0</v>
      </c>
      <c r="BQ6" s="24">
        <f t="shared" si="14"/>
        <v>1202</v>
      </c>
      <c r="BR6" s="32">
        <v>516.0</v>
      </c>
      <c r="BS6" s="30">
        <v>60.0</v>
      </c>
      <c r="BT6" s="31">
        <v>1652.0</v>
      </c>
      <c r="BU6" s="24">
        <f t="shared" si="15"/>
        <v>2228</v>
      </c>
    </row>
    <row r="7" ht="21.0" customHeight="1">
      <c r="A7" s="34" t="s">
        <v>74</v>
      </c>
      <c r="B7" s="33">
        <v>977.0</v>
      </c>
      <c r="C7" s="30">
        <v>350.0</v>
      </c>
      <c r="D7" s="31">
        <v>44.0</v>
      </c>
      <c r="E7" s="28">
        <f t="shared" si="1"/>
        <v>1371</v>
      </c>
      <c r="F7" s="30">
        <v>178.0</v>
      </c>
      <c r="G7" s="30">
        <v>155.0</v>
      </c>
      <c r="H7" s="30">
        <v>187.0</v>
      </c>
      <c r="I7" s="30">
        <v>179.0</v>
      </c>
      <c r="J7" s="30">
        <v>250.0</v>
      </c>
      <c r="K7" s="30">
        <v>213.0</v>
      </c>
      <c r="L7" s="31">
        <v>209.0</v>
      </c>
      <c r="M7" s="24">
        <f t="shared" si="2"/>
        <v>1371</v>
      </c>
      <c r="N7" s="30">
        <v>796.0</v>
      </c>
      <c r="O7" s="31">
        <v>575.0</v>
      </c>
      <c r="P7" s="24">
        <f t="shared" si="3"/>
        <v>1371</v>
      </c>
      <c r="Q7" s="30">
        <v>529.0</v>
      </c>
      <c r="R7" s="31">
        <v>842.0</v>
      </c>
      <c r="S7" s="24">
        <f t="shared" si="4"/>
        <v>1371</v>
      </c>
      <c r="T7" s="30">
        <v>1068.0</v>
      </c>
      <c r="U7" s="30">
        <v>339.0</v>
      </c>
      <c r="V7" s="30">
        <v>7.0</v>
      </c>
      <c r="W7" s="30">
        <v>508.0</v>
      </c>
      <c r="X7" s="30">
        <v>175.0</v>
      </c>
      <c r="Y7" s="30">
        <v>54.0</v>
      </c>
      <c r="Z7" s="31">
        <v>36.0</v>
      </c>
      <c r="AA7" s="24">
        <f t="shared" si="5"/>
        <v>2187</v>
      </c>
      <c r="AB7" s="30">
        <v>198.0</v>
      </c>
      <c r="AC7" s="30">
        <v>837.0</v>
      </c>
      <c r="AD7" s="30">
        <v>713.0</v>
      </c>
      <c r="AE7" s="30">
        <v>363.0</v>
      </c>
      <c r="AF7" s="30">
        <v>76.0</v>
      </c>
      <c r="AG7" s="24">
        <f t="shared" si="6"/>
        <v>2187</v>
      </c>
      <c r="AH7" s="30">
        <v>1476.0</v>
      </c>
      <c r="AI7" s="30">
        <v>711.0</v>
      </c>
      <c r="AJ7" s="24">
        <f t="shared" si="7"/>
        <v>2187</v>
      </c>
      <c r="AK7" s="30">
        <v>1454.0</v>
      </c>
      <c r="AL7" s="30">
        <v>733.0</v>
      </c>
      <c r="AM7" s="24">
        <f t="shared" si="8"/>
        <v>2187</v>
      </c>
      <c r="AN7" s="30">
        <v>2149.0</v>
      </c>
      <c r="AO7" s="31">
        <v>38.0</v>
      </c>
      <c r="AP7" s="24">
        <f t="shared" si="9"/>
        <v>2187</v>
      </c>
      <c r="AQ7" s="30">
        <v>1587.0</v>
      </c>
      <c r="AR7" s="30">
        <v>496.0</v>
      </c>
      <c r="AS7" s="30">
        <v>2.0</v>
      </c>
      <c r="AT7" s="30">
        <v>1.0</v>
      </c>
      <c r="AU7" s="31">
        <v>101.0</v>
      </c>
      <c r="AV7" s="24">
        <f t="shared" si="10"/>
        <v>2187</v>
      </c>
      <c r="AW7" s="29">
        <f t="shared" si="11"/>
        <v>101</v>
      </c>
      <c r="AX7" s="30">
        <v>1848.0</v>
      </c>
      <c r="AY7" s="31">
        <v>238.0</v>
      </c>
      <c r="AZ7" s="24">
        <f t="shared" si="12"/>
        <v>2187</v>
      </c>
      <c r="BA7" s="30">
        <v>878.0</v>
      </c>
      <c r="BB7" s="30">
        <v>176.0</v>
      </c>
      <c r="BC7" s="30">
        <v>37.0</v>
      </c>
      <c r="BD7" s="30">
        <v>26.0</v>
      </c>
      <c r="BE7" s="30">
        <v>3.0</v>
      </c>
      <c r="BF7" s="30">
        <v>120.0</v>
      </c>
      <c r="BG7" s="30">
        <v>85.0</v>
      </c>
      <c r="BH7" s="31">
        <v>46.0</v>
      </c>
      <c r="BI7" s="24">
        <f t="shared" si="13"/>
        <v>1371</v>
      </c>
      <c r="BJ7" s="30">
        <v>3.0</v>
      </c>
      <c r="BK7" s="30">
        <v>55.0</v>
      </c>
      <c r="BL7" s="30">
        <v>159.0</v>
      </c>
      <c r="BM7" s="30">
        <v>4.0</v>
      </c>
      <c r="BN7" s="30">
        <v>281.0</v>
      </c>
      <c r="BO7" s="30">
        <v>0.0</v>
      </c>
      <c r="BP7" s="31">
        <v>869.0</v>
      </c>
      <c r="BQ7" s="24">
        <f t="shared" si="14"/>
        <v>1371</v>
      </c>
      <c r="BR7" s="32">
        <v>533.0</v>
      </c>
      <c r="BS7" s="30">
        <v>53.0</v>
      </c>
      <c r="BT7" s="31">
        <v>1801.0</v>
      </c>
      <c r="BU7" s="24">
        <f t="shared" si="15"/>
        <v>2387</v>
      </c>
    </row>
    <row r="8" ht="21.0" customHeight="1">
      <c r="A8" s="24" t="s">
        <v>75</v>
      </c>
      <c r="B8" s="33">
        <v>1133.0</v>
      </c>
      <c r="C8" s="30">
        <v>323.0</v>
      </c>
      <c r="D8" s="31">
        <v>49.0</v>
      </c>
      <c r="E8" s="28">
        <f t="shared" si="1"/>
        <v>1505</v>
      </c>
      <c r="F8" s="30">
        <v>315.0</v>
      </c>
      <c r="G8" s="30">
        <v>175.0</v>
      </c>
      <c r="H8" s="30">
        <v>231.0</v>
      </c>
      <c r="I8" s="30">
        <v>173.0</v>
      </c>
      <c r="J8" s="30">
        <v>155.0</v>
      </c>
      <c r="K8" s="30">
        <v>244.0</v>
      </c>
      <c r="L8" s="31">
        <v>212.0</v>
      </c>
      <c r="M8" s="24">
        <f t="shared" si="2"/>
        <v>1505</v>
      </c>
      <c r="N8" s="30">
        <v>752.0</v>
      </c>
      <c r="O8" s="31">
        <v>753.0</v>
      </c>
      <c r="P8" s="24">
        <f t="shared" si="3"/>
        <v>1505</v>
      </c>
      <c r="Q8" s="30">
        <v>601.0</v>
      </c>
      <c r="R8" s="31">
        <v>904.0</v>
      </c>
      <c r="S8" s="24">
        <f t="shared" si="4"/>
        <v>1505</v>
      </c>
      <c r="T8" s="30">
        <v>1146.0</v>
      </c>
      <c r="U8" s="30">
        <v>254.0</v>
      </c>
      <c r="V8" s="30">
        <v>34.0</v>
      </c>
      <c r="W8" s="30">
        <v>484.0</v>
      </c>
      <c r="X8" s="30">
        <v>190.0</v>
      </c>
      <c r="Y8" s="30">
        <v>65.0</v>
      </c>
      <c r="Z8" s="31">
        <v>74.0</v>
      </c>
      <c r="AA8" s="24">
        <f t="shared" si="5"/>
        <v>2247</v>
      </c>
      <c r="AB8" s="30">
        <v>218.0</v>
      </c>
      <c r="AC8" s="30">
        <v>684.0</v>
      </c>
      <c r="AD8" s="30">
        <v>702.0</v>
      </c>
      <c r="AE8" s="30">
        <v>433.0</v>
      </c>
      <c r="AF8" s="30">
        <v>210.0</v>
      </c>
      <c r="AG8" s="24">
        <f t="shared" si="6"/>
        <v>2247</v>
      </c>
      <c r="AH8" s="30">
        <v>1425.0</v>
      </c>
      <c r="AI8" s="30">
        <v>822.0</v>
      </c>
      <c r="AJ8" s="24">
        <f t="shared" si="7"/>
        <v>2247</v>
      </c>
      <c r="AK8" s="30">
        <v>1473.0</v>
      </c>
      <c r="AL8" s="30">
        <v>774.0</v>
      </c>
      <c r="AM8" s="24">
        <f t="shared" si="8"/>
        <v>2247</v>
      </c>
      <c r="AN8" s="30">
        <v>2084.0</v>
      </c>
      <c r="AO8" s="31">
        <v>163.0</v>
      </c>
      <c r="AP8" s="24">
        <f t="shared" si="9"/>
        <v>2247</v>
      </c>
      <c r="AQ8" s="30">
        <v>1491.0</v>
      </c>
      <c r="AR8" s="30">
        <v>654.0</v>
      </c>
      <c r="AS8" s="30">
        <v>3.0</v>
      </c>
      <c r="AT8" s="30">
        <v>1.0</v>
      </c>
      <c r="AU8" s="31">
        <v>98.0</v>
      </c>
      <c r="AV8" s="24">
        <f t="shared" si="10"/>
        <v>2247</v>
      </c>
      <c r="AW8" s="29">
        <f t="shared" si="11"/>
        <v>98</v>
      </c>
      <c r="AX8" s="30">
        <v>1637.0</v>
      </c>
      <c r="AY8" s="31">
        <v>512.0</v>
      </c>
      <c r="AZ8" s="24">
        <f t="shared" si="12"/>
        <v>2247</v>
      </c>
      <c r="BA8" s="30">
        <v>946.0</v>
      </c>
      <c r="BB8" s="30">
        <v>264.0</v>
      </c>
      <c r="BC8" s="30">
        <v>32.0</v>
      </c>
      <c r="BD8" s="30">
        <v>31.0</v>
      </c>
      <c r="BE8" s="30">
        <v>1.0</v>
      </c>
      <c r="BF8" s="30">
        <v>131.0</v>
      </c>
      <c r="BG8" s="30">
        <v>85.0</v>
      </c>
      <c r="BH8" s="31">
        <v>15.0</v>
      </c>
      <c r="BI8" s="24">
        <f t="shared" si="13"/>
        <v>1505</v>
      </c>
      <c r="BJ8" s="30">
        <v>16.0</v>
      </c>
      <c r="BK8" s="30">
        <v>53.0</v>
      </c>
      <c r="BL8" s="30">
        <v>124.0</v>
      </c>
      <c r="BM8" s="30">
        <v>0.0</v>
      </c>
      <c r="BN8" s="30">
        <v>313.0</v>
      </c>
      <c r="BO8" s="30">
        <v>1.0</v>
      </c>
      <c r="BP8" s="31">
        <v>998.0</v>
      </c>
      <c r="BQ8" s="24">
        <f t="shared" si="14"/>
        <v>1505</v>
      </c>
      <c r="BR8" s="32">
        <v>575.0</v>
      </c>
      <c r="BS8" s="30">
        <v>65.0</v>
      </c>
      <c r="BT8" s="31">
        <v>2104.0</v>
      </c>
      <c r="BU8" s="24">
        <f t="shared" si="15"/>
        <v>2744</v>
      </c>
    </row>
    <row r="9" ht="21.0" customHeight="1">
      <c r="A9" s="24" t="s">
        <v>76</v>
      </c>
      <c r="B9" s="33">
        <v>912.0</v>
      </c>
      <c r="C9" s="30">
        <v>300.0</v>
      </c>
      <c r="D9" s="31">
        <v>48.0</v>
      </c>
      <c r="E9" s="28">
        <f t="shared" si="1"/>
        <v>1260</v>
      </c>
      <c r="F9" s="30">
        <v>199.0</v>
      </c>
      <c r="G9" s="30">
        <v>167.0</v>
      </c>
      <c r="H9" s="30">
        <v>166.0</v>
      </c>
      <c r="I9" s="30">
        <v>163.0</v>
      </c>
      <c r="J9" s="30">
        <v>181.0</v>
      </c>
      <c r="K9" s="30">
        <v>193.0</v>
      </c>
      <c r="L9" s="31">
        <v>191.0</v>
      </c>
      <c r="M9" s="24">
        <f t="shared" si="2"/>
        <v>1260</v>
      </c>
      <c r="N9" s="30">
        <v>577.0</v>
      </c>
      <c r="O9" s="31">
        <v>683.0</v>
      </c>
      <c r="P9" s="24">
        <f t="shared" si="3"/>
        <v>1260</v>
      </c>
      <c r="Q9" s="30">
        <v>479.0</v>
      </c>
      <c r="R9" s="31">
        <v>781.0</v>
      </c>
      <c r="S9" s="24">
        <f t="shared" si="4"/>
        <v>1260</v>
      </c>
      <c r="T9" s="30">
        <v>815.0</v>
      </c>
      <c r="U9" s="30">
        <v>305.0</v>
      </c>
      <c r="V9" s="30">
        <v>28.0</v>
      </c>
      <c r="W9" s="30">
        <v>399.0</v>
      </c>
      <c r="X9" s="30">
        <v>221.0</v>
      </c>
      <c r="Y9" s="30">
        <v>76.0</v>
      </c>
      <c r="Z9" s="31">
        <v>47.0</v>
      </c>
      <c r="AA9" s="24">
        <f t="shared" si="5"/>
        <v>1891</v>
      </c>
      <c r="AB9" s="30">
        <v>164.0</v>
      </c>
      <c r="AC9" s="30">
        <v>664.0</v>
      </c>
      <c r="AD9" s="30">
        <v>573.0</v>
      </c>
      <c r="AE9" s="30">
        <v>335.0</v>
      </c>
      <c r="AF9" s="30">
        <v>155.0</v>
      </c>
      <c r="AG9" s="24">
        <f t="shared" si="6"/>
        <v>1891</v>
      </c>
      <c r="AH9" s="30">
        <v>1292.0</v>
      </c>
      <c r="AI9" s="30">
        <v>599.0</v>
      </c>
      <c r="AJ9" s="24">
        <f t="shared" si="7"/>
        <v>1891</v>
      </c>
      <c r="AK9" s="30">
        <v>1304.0</v>
      </c>
      <c r="AL9" s="30">
        <v>587.0</v>
      </c>
      <c r="AM9" s="24">
        <f t="shared" si="8"/>
        <v>1891</v>
      </c>
      <c r="AN9" s="30">
        <v>1875.0</v>
      </c>
      <c r="AO9" s="31">
        <v>16.0</v>
      </c>
      <c r="AP9" s="24">
        <f t="shared" si="9"/>
        <v>1891</v>
      </c>
      <c r="AQ9" s="30">
        <v>1434.0</v>
      </c>
      <c r="AR9" s="30">
        <v>369.0</v>
      </c>
      <c r="AS9" s="30">
        <v>0.0</v>
      </c>
      <c r="AT9" s="30">
        <v>2.0</v>
      </c>
      <c r="AU9" s="31">
        <v>86.0</v>
      </c>
      <c r="AV9" s="24">
        <f t="shared" si="10"/>
        <v>1891</v>
      </c>
      <c r="AW9" s="29">
        <f t="shared" si="11"/>
        <v>86</v>
      </c>
      <c r="AX9" s="30">
        <v>1450.0</v>
      </c>
      <c r="AY9" s="31">
        <v>355.0</v>
      </c>
      <c r="AZ9" s="24">
        <f t="shared" si="12"/>
        <v>1891</v>
      </c>
      <c r="BA9" s="30">
        <v>713.0</v>
      </c>
      <c r="BB9" s="30">
        <v>217.0</v>
      </c>
      <c r="BC9" s="30">
        <v>34.0</v>
      </c>
      <c r="BD9" s="30">
        <v>37.0</v>
      </c>
      <c r="BE9" s="30">
        <v>3.0</v>
      </c>
      <c r="BF9" s="30">
        <v>178.0</v>
      </c>
      <c r="BG9" s="30">
        <v>77.0</v>
      </c>
      <c r="BH9" s="31">
        <v>1.0</v>
      </c>
      <c r="BI9" s="24">
        <f t="shared" si="13"/>
        <v>1260</v>
      </c>
      <c r="BJ9" s="30">
        <v>8.0</v>
      </c>
      <c r="BK9" s="30">
        <v>38.0</v>
      </c>
      <c r="BL9" s="30">
        <v>99.0</v>
      </c>
      <c r="BM9" s="30">
        <v>14.0</v>
      </c>
      <c r="BN9" s="30">
        <v>285.0</v>
      </c>
      <c r="BO9" s="30">
        <v>0.0</v>
      </c>
      <c r="BP9" s="31">
        <v>816.0</v>
      </c>
      <c r="BQ9" s="24">
        <f t="shared" si="14"/>
        <v>1260</v>
      </c>
      <c r="BR9" s="32">
        <v>390.0</v>
      </c>
      <c r="BS9" s="30">
        <v>57.0</v>
      </c>
      <c r="BT9" s="31">
        <v>1526.0</v>
      </c>
      <c r="BU9" s="24">
        <f t="shared" si="15"/>
        <v>1973</v>
      </c>
    </row>
    <row r="10" ht="21.0" customHeight="1">
      <c r="A10" s="24" t="s">
        <v>77</v>
      </c>
      <c r="B10" s="33">
        <v>857.0</v>
      </c>
      <c r="C10" s="30">
        <v>420.0</v>
      </c>
      <c r="D10" s="31">
        <v>53.0</v>
      </c>
      <c r="E10" s="28">
        <f t="shared" si="1"/>
        <v>1330</v>
      </c>
      <c r="F10" s="30">
        <v>170.0</v>
      </c>
      <c r="G10" s="30">
        <v>210.0</v>
      </c>
      <c r="H10" s="30">
        <v>213.0</v>
      </c>
      <c r="I10" s="30">
        <v>167.0</v>
      </c>
      <c r="J10" s="30">
        <v>176.0</v>
      </c>
      <c r="K10" s="30">
        <v>199.0</v>
      </c>
      <c r="L10" s="31">
        <v>195.0</v>
      </c>
      <c r="M10" s="24">
        <f t="shared" si="2"/>
        <v>1330</v>
      </c>
      <c r="N10" s="30">
        <v>820.0</v>
      </c>
      <c r="O10" s="31">
        <v>510.0</v>
      </c>
      <c r="P10" s="24">
        <f t="shared" si="3"/>
        <v>1330</v>
      </c>
      <c r="Q10" s="30">
        <v>705.0</v>
      </c>
      <c r="R10" s="31">
        <v>625.0</v>
      </c>
      <c r="S10" s="24">
        <f t="shared" si="4"/>
        <v>1330</v>
      </c>
      <c r="T10" s="30">
        <v>820.0</v>
      </c>
      <c r="U10" s="30">
        <v>212.0</v>
      </c>
      <c r="V10" s="30">
        <v>55.0</v>
      </c>
      <c r="W10" s="30">
        <v>323.0</v>
      </c>
      <c r="X10" s="30">
        <v>32.0</v>
      </c>
      <c r="Y10" s="30">
        <v>60.0</v>
      </c>
      <c r="Z10" s="31">
        <v>233.0</v>
      </c>
      <c r="AA10" s="24">
        <f t="shared" si="5"/>
        <v>1735</v>
      </c>
      <c r="AB10" s="30">
        <v>222.0</v>
      </c>
      <c r="AC10" s="30">
        <v>521.0</v>
      </c>
      <c r="AD10" s="30">
        <v>404.0</v>
      </c>
      <c r="AE10" s="30">
        <v>289.0</v>
      </c>
      <c r="AF10" s="30">
        <v>299.0</v>
      </c>
      <c r="AG10" s="24">
        <f t="shared" si="6"/>
        <v>1735</v>
      </c>
      <c r="AH10" s="30">
        <v>1221.0</v>
      </c>
      <c r="AI10" s="30">
        <v>514.0</v>
      </c>
      <c r="AJ10" s="24">
        <f t="shared" si="7"/>
        <v>1735</v>
      </c>
      <c r="AK10" s="30">
        <v>950.0</v>
      </c>
      <c r="AL10" s="30">
        <v>785.0</v>
      </c>
      <c r="AM10" s="24">
        <f t="shared" si="8"/>
        <v>1735</v>
      </c>
      <c r="AN10" s="30">
        <v>1700.0</v>
      </c>
      <c r="AO10" s="31">
        <v>35.0</v>
      </c>
      <c r="AP10" s="24">
        <f t="shared" si="9"/>
        <v>1735</v>
      </c>
      <c r="AQ10" s="30">
        <v>1112.0</v>
      </c>
      <c r="AR10" s="30">
        <v>262.0</v>
      </c>
      <c r="AS10" s="30">
        <v>0.0</v>
      </c>
      <c r="AT10" s="30">
        <v>0.0</v>
      </c>
      <c r="AU10" s="31">
        <v>361.0</v>
      </c>
      <c r="AV10" s="24">
        <f t="shared" si="10"/>
        <v>1735</v>
      </c>
      <c r="AW10" s="29">
        <f t="shared" si="11"/>
        <v>361</v>
      </c>
      <c r="AX10" s="30">
        <v>950.0</v>
      </c>
      <c r="AY10" s="31">
        <v>424.0</v>
      </c>
      <c r="AZ10" s="24">
        <f t="shared" si="12"/>
        <v>1735</v>
      </c>
      <c r="BA10" s="30">
        <v>620.0</v>
      </c>
      <c r="BB10" s="30">
        <v>266.0</v>
      </c>
      <c r="BC10" s="30">
        <v>30.0</v>
      </c>
      <c r="BD10" s="30">
        <v>35.0</v>
      </c>
      <c r="BE10" s="30">
        <v>10.0</v>
      </c>
      <c r="BF10" s="30">
        <v>240.0</v>
      </c>
      <c r="BG10" s="30">
        <v>129.0</v>
      </c>
      <c r="BH10" s="31">
        <v>0.0</v>
      </c>
      <c r="BI10" s="24">
        <f t="shared" si="13"/>
        <v>1330</v>
      </c>
      <c r="BJ10" s="30">
        <v>10.0</v>
      </c>
      <c r="BK10" s="30">
        <v>40.0</v>
      </c>
      <c r="BL10" s="30">
        <v>130.0</v>
      </c>
      <c r="BM10" s="30">
        <v>10.0</v>
      </c>
      <c r="BN10" s="30">
        <v>333.0</v>
      </c>
      <c r="BO10" s="30">
        <v>0.0</v>
      </c>
      <c r="BP10" s="31">
        <v>807.0</v>
      </c>
      <c r="BQ10" s="24">
        <f t="shared" si="14"/>
        <v>1330</v>
      </c>
      <c r="BR10" s="32">
        <v>616.0</v>
      </c>
      <c r="BS10" s="30">
        <v>85.0</v>
      </c>
      <c r="BT10" s="31">
        <v>840.0</v>
      </c>
      <c r="BU10" s="24">
        <f t="shared" si="15"/>
        <v>1541</v>
      </c>
    </row>
    <row r="11" ht="21.0" customHeight="1">
      <c r="A11" s="24" t="s">
        <v>78</v>
      </c>
      <c r="B11" s="33">
        <v>1045.0</v>
      </c>
      <c r="C11" s="30">
        <v>305.0</v>
      </c>
      <c r="D11" s="31">
        <v>39.0</v>
      </c>
      <c r="E11" s="28">
        <f t="shared" si="1"/>
        <v>1389</v>
      </c>
      <c r="F11" s="30">
        <v>162.0</v>
      </c>
      <c r="G11" s="30">
        <v>205.0</v>
      </c>
      <c r="H11" s="30">
        <v>204.0</v>
      </c>
      <c r="I11" s="30">
        <v>203.0</v>
      </c>
      <c r="J11" s="30">
        <v>220.0</v>
      </c>
      <c r="K11" s="30">
        <v>196.0</v>
      </c>
      <c r="L11" s="31">
        <v>199.0</v>
      </c>
      <c r="M11" s="24">
        <f t="shared" si="2"/>
        <v>1389</v>
      </c>
      <c r="N11" s="30">
        <v>674.0</v>
      </c>
      <c r="O11" s="31">
        <v>715.0</v>
      </c>
      <c r="P11" s="24">
        <f t="shared" si="3"/>
        <v>1389</v>
      </c>
      <c r="Q11" s="30">
        <v>579.0</v>
      </c>
      <c r="R11" s="31">
        <v>810.0</v>
      </c>
      <c r="S11" s="24">
        <f t="shared" si="4"/>
        <v>1389</v>
      </c>
      <c r="T11" s="30">
        <v>959.0</v>
      </c>
      <c r="U11" s="30">
        <v>308.0</v>
      </c>
      <c r="V11" s="30">
        <v>50.0</v>
      </c>
      <c r="W11" s="30">
        <v>444.0</v>
      </c>
      <c r="X11" s="30">
        <v>259.0</v>
      </c>
      <c r="Y11" s="30">
        <v>68.0</v>
      </c>
      <c r="Z11" s="31">
        <v>55.0</v>
      </c>
      <c r="AA11" s="24">
        <f t="shared" si="5"/>
        <v>2143</v>
      </c>
      <c r="AB11" s="30">
        <v>302.0</v>
      </c>
      <c r="AC11" s="30">
        <v>674.0</v>
      </c>
      <c r="AD11" s="30">
        <v>552.0</v>
      </c>
      <c r="AE11" s="30">
        <v>405.0</v>
      </c>
      <c r="AF11" s="30">
        <v>210.0</v>
      </c>
      <c r="AG11" s="24">
        <f t="shared" si="6"/>
        <v>2143</v>
      </c>
      <c r="AH11" s="30">
        <v>1426.0</v>
      </c>
      <c r="AI11" s="30">
        <v>717.0</v>
      </c>
      <c r="AJ11" s="24">
        <f t="shared" si="7"/>
        <v>2143</v>
      </c>
      <c r="AK11" s="30">
        <v>1560.0</v>
      </c>
      <c r="AL11" s="30">
        <v>583.0</v>
      </c>
      <c r="AM11" s="24">
        <f t="shared" si="8"/>
        <v>2143</v>
      </c>
      <c r="AN11" s="30">
        <v>2063.0</v>
      </c>
      <c r="AO11" s="31">
        <v>80.0</v>
      </c>
      <c r="AP11" s="24">
        <f t="shared" si="9"/>
        <v>2143</v>
      </c>
      <c r="AQ11" s="30">
        <v>1929.0</v>
      </c>
      <c r="AR11" s="30">
        <v>192.0</v>
      </c>
      <c r="AS11" s="30">
        <v>0.0</v>
      </c>
      <c r="AT11" s="30">
        <v>1.0</v>
      </c>
      <c r="AU11" s="31">
        <v>21.0</v>
      </c>
      <c r="AV11" s="24">
        <f t="shared" si="10"/>
        <v>2143</v>
      </c>
      <c r="AW11" s="29">
        <f t="shared" si="11"/>
        <v>21</v>
      </c>
      <c r="AX11" s="30">
        <v>2064.0</v>
      </c>
      <c r="AY11" s="31">
        <v>58.0</v>
      </c>
      <c r="AZ11" s="24">
        <f t="shared" si="12"/>
        <v>2143</v>
      </c>
      <c r="BA11" s="30">
        <v>707.0</v>
      </c>
      <c r="BB11" s="30">
        <v>149.0</v>
      </c>
      <c r="BC11" s="30">
        <v>48.0</v>
      </c>
      <c r="BD11" s="30">
        <v>44.0</v>
      </c>
      <c r="BE11" s="30">
        <v>1.0</v>
      </c>
      <c r="BF11" s="30">
        <v>213.0</v>
      </c>
      <c r="BG11" s="30">
        <v>120.0</v>
      </c>
      <c r="BH11" s="31">
        <v>107.0</v>
      </c>
      <c r="BI11" s="24">
        <f t="shared" si="13"/>
        <v>1389</v>
      </c>
      <c r="BJ11" s="30">
        <v>8.0</v>
      </c>
      <c r="BK11" s="30">
        <v>77.0</v>
      </c>
      <c r="BL11" s="30">
        <v>154.0</v>
      </c>
      <c r="BM11" s="30">
        <v>1.0</v>
      </c>
      <c r="BN11" s="30">
        <v>323.0</v>
      </c>
      <c r="BO11" s="30">
        <v>0.0</v>
      </c>
      <c r="BP11" s="31">
        <v>826.0</v>
      </c>
      <c r="BQ11" s="24">
        <f t="shared" si="14"/>
        <v>1389</v>
      </c>
      <c r="BR11" s="32">
        <v>371.0</v>
      </c>
      <c r="BS11" s="30">
        <v>51.0</v>
      </c>
      <c r="BT11" s="31">
        <v>1745.0</v>
      </c>
      <c r="BU11" s="24">
        <f t="shared" si="15"/>
        <v>2167</v>
      </c>
    </row>
    <row r="12" ht="21.0" customHeight="1">
      <c r="A12" s="24" t="s">
        <v>79</v>
      </c>
      <c r="B12" s="33">
        <v>1026.0</v>
      </c>
      <c r="C12" s="30">
        <v>364.0</v>
      </c>
      <c r="D12" s="31">
        <v>40.0</v>
      </c>
      <c r="E12" s="28">
        <f t="shared" si="1"/>
        <v>1430</v>
      </c>
      <c r="F12" s="30">
        <v>173.0</v>
      </c>
      <c r="G12" s="30">
        <v>248.0</v>
      </c>
      <c r="H12" s="30">
        <v>240.0</v>
      </c>
      <c r="I12" s="30">
        <v>207.0</v>
      </c>
      <c r="J12" s="30">
        <v>219.0</v>
      </c>
      <c r="K12" s="30">
        <v>138.0</v>
      </c>
      <c r="L12" s="31">
        <v>205.0</v>
      </c>
      <c r="M12" s="24">
        <f t="shared" si="2"/>
        <v>1430</v>
      </c>
      <c r="N12" s="30">
        <v>705.0</v>
      </c>
      <c r="O12" s="31">
        <v>725.0</v>
      </c>
      <c r="P12" s="24">
        <f t="shared" si="3"/>
        <v>1430</v>
      </c>
      <c r="Q12" s="30">
        <v>621.0</v>
      </c>
      <c r="R12" s="31">
        <v>809.0</v>
      </c>
      <c r="S12" s="24">
        <f t="shared" si="4"/>
        <v>1430</v>
      </c>
      <c r="T12" s="30">
        <v>1027.0</v>
      </c>
      <c r="U12" s="30">
        <v>327.0</v>
      </c>
      <c r="V12" s="30">
        <v>95.0</v>
      </c>
      <c r="W12" s="30">
        <v>367.0</v>
      </c>
      <c r="X12" s="30">
        <v>294.0</v>
      </c>
      <c r="Y12" s="30">
        <v>78.0</v>
      </c>
      <c r="Z12" s="31">
        <v>47.0</v>
      </c>
      <c r="AA12" s="24">
        <f t="shared" si="5"/>
        <v>2235</v>
      </c>
      <c r="AB12" s="30">
        <v>458.0</v>
      </c>
      <c r="AC12" s="30">
        <v>582.0</v>
      </c>
      <c r="AD12" s="30">
        <v>534.0</v>
      </c>
      <c r="AE12" s="30">
        <v>422.0</v>
      </c>
      <c r="AF12" s="30">
        <v>239.0</v>
      </c>
      <c r="AG12" s="24">
        <f t="shared" si="6"/>
        <v>2235</v>
      </c>
      <c r="AH12" s="30">
        <v>1394.0</v>
      </c>
      <c r="AI12" s="30">
        <v>841.0</v>
      </c>
      <c r="AJ12" s="24">
        <f t="shared" si="7"/>
        <v>2235</v>
      </c>
      <c r="AK12" s="30">
        <v>1591.0</v>
      </c>
      <c r="AL12" s="30">
        <v>644.0</v>
      </c>
      <c r="AM12" s="24">
        <f t="shared" si="8"/>
        <v>2235</v>
      </c>
      <c r="AN12" s="30">
        <v>2156.0</v>
      </c>
      <c r="AO12" s="31">
        <v>79.0</v>
      </c>
      <c r="AP12" s="24">
        <f t="shared" si="9"/>
        <v>2235</v>
      </c>
      <c r="AQ12" s="30">
        <v>2022.0</v>
      </c>
      <c r="AR12" s="30">
        <v>159.0</v>
      </c>
      <c r="AS12" s="30">
        <v>0.0</v>
      </c>
      <c r="AT12" s="30">
        <v>2.0</v>
      </c>
      <c r="AU12" s="31">
        <v>52.0</v>
      </c>
      <c r="AV12" s="24">
        <f t="shared" si="10"/>
        <v>2235</v>
      </c>
      <c r="AW12" s="29">
        <f t="shared" si="11"/>
        <v>52</v>
      </c>
      <c r="AX12" s="30">
        <v>2143.0</v>
      </c>
      <c r="AY12" s="31">
        <v>40.0</v>
      </c>
      <c r="AZ12" s="24">
        <f t="shared" si="12"/>
        <v>2235</v>
      </c>
      <c r="BA12" s="30">
        <v>727.0</v>
      </c>
      <c r="BB12" s="30">
        <v>154.0</v>
      </c>
      <c r="BC12" s="30">
        <v>50.0</v>
      </c>
      <c r="BD12" s="30">
        <v>44.0</v>
      </c>
      <c r="BE12" s="30">
        <v>1.0</v>
      </c>
      <c r="BF12" s="30">
        <v>214.0</v>
      </c>
      <c r="BG12" s="30">
        <v>126.0</v>
      </c>
      <c r="BH12" s="31">
        <v>114.0</v>
      </c>
      <c r="BI12" s="24">
        <f t="shared" si="13"/>
        <v>1430</v>
      </c>
      <c r="BJ12" s="30">
        <v>8.0</v>
      </c>
      <c r="BK12" s="30">
        <v>83.0</v>
      </c>
      <c r="BL12" s="30">
        <v>129.0</v>
      </c>
      <c r="BM12" s="30">
        <v>2.0</v>
      </c>
      <c r="BN12" s="30">
        <v>336.0</v>
      </c>
      <c r="BO12" s="30">
        <v>0.0</v>
      </c>
      <c r="BP12" s="31">
        <v>872.0</v>
      </c>
      <c r="BQ12" s="24">
        <f t="shared" si="14"/>
        <v>1430</v>
      </c>
      <c r="BR12" s="32">
        <v>394.0</v>
      </c>
      <c r="BS12" s="30">
        <v>43.0</v>
      </c>
      <c r="BT12" s="31">
        <v>1798.0</v>
      </c>
      <c r="BU12" s="24">
        <f t="shared" si="15"/>
        <v>2235</v>
      </c>
    </row>
    <row r="13" ht="21.0" customHeight="1">
      <c r="A13" s="24" t="s">
        <v>80</v>
      </c>
      <c r="B13" s="35">
        <v>785.0</v>
      </c>
      <c r="C13" s="36">
        <v>320.0</v>
      </c>
      <c r="D13" s="37">
        <v>29.0</v>
      </c>
      <c r="E13" s="28">
        <f t="shared" si="1"/>
        <v>1134</v>
      </c>
      <c r="F13" s="36">
        <v>149.0</v>
      </c>
      <c r="G13" s="36">
        <v>125.0</v>
      </c>
      <c r="H13" s="36">
        <v>147.0</v>
      </c>
      <c r="I13" s="36">
        <v>161.0</v>
      </c>
      <c r="J13" s="36">
        <v>161.0</v>
      </c>
      <c r="K13" s="36">
        <v>216.0</v>
      </c>
      <c r="L13" s="37">
        <v>175.0</v>
      </c>
      <c r="M13" s="24">
        <f t="shared" si="2"/>
        <v>1134</v>
      </c>
      <c r="N13" s="36">
        <v>688.0</v>
      </c>
      <c r="O13" s="37">
        <v>446.0</v>
      </c>
      <c r="P13" s="24">
        <f t="shared" si="3"/>
        <v>1134</v>
      </c>
      <c r="Q13" s="30">
        <v>552.0</v>
      </c>
      <c r="R13" s="31">
        <v>582.0</v>
      </c>
      <c r="S13" s="24">
        <f t="shared" si="4"/>
        <v>1134</v>
      </c>
      <c r="T13" s="30">
        <v>897.0</v>
      </c>
      <c r="U13" s="30">
        <v>331.0</v>
      </c>
      <c r="V13" s="30">
        <v>99.0</v>
      </c>
      <c r="W13" s="30">
        <v>371.0</v>
      </c>
      <c r="X13" s="30">
        <v>325.0</v>
      </c>
      <c r="Y13" s="30">
        <v>94.0</v>
      </c>
      <c r="Z13" s="31">
        <v>58.0</v>
      </c>
      <c r="AA13" s="24">
        <f t="shared" si="5"/>
        <v>2175</v>
      </c>
      <c r="AB13" s="30">
        <v>396.0</v>
      </c>
      <c r="AC13" s="30">
        <v>711.0</v>
      </c>
      <c r="AD13" s="30">
        <v>495.0</v>
      </c>
      <c r="AE13" s="30">
        <v>378.0</v>
      </c>
      <c r="AF13" s="30">
        <v>195.0</v>
      </c>
      <c r="AG13" s="24">
        <f t="shared" si="6"/>
        <v>2175</v>
      </c>
      <c r="AH13" s="30">
        <v>1309.0</v>
      </c>
      <c r="AI13" s="30">
        <v>866.0</v>
      </c>
      <c r="AJ13" s="24">
        <f t="shared" si="7"/>
        <v>2175</v>
      </c>
      <c r="AK13" s="30">
        <v>1508.0</v>
      </c>
      <c r="AL13" s="30">
        <v>667.0</v>
      </c>
      <c r="AM13" s="24">
        <f t="shared" si="8"/>
        <v>2175</v>
      </c>
      <c r="AN13" s="30">
        <v>2094.0</v>
      </c>
      <c r="AO13" s="31">
        <v>81.0</v>
      </c>
      <c r="AP13" s="24">
        <f t="shared" si="9"/>
        <v>2175</v>
      </c>
      <c r="AQ13" s="30">
        <v>1922.0</v>
      </c>
      <c r="AR13" s="30">
        <v>192.0</v>
      </c>
      <c r="AS13" s="30">
        <v>0.0</v>
      </c>
      <c r="AT13" s="30">
        <v>2.0</v>
      </c>
      <c r="AU13" s="31">
        <v>59.0</v>
      </c>
      <c r="AV13" s="24">
        <f t="shared" si="10"/>
        <v>2175</v>
      </c>
      <c r="AW13" s="29">
        <f t="shared" si="11"/>
        <v>59</v>
      </c>
      <c r="AX13" s="30">
        <v>2044.0</v>
      </c>
      <c r="AY13" s="31">
        <v>72.0</v>
      </c>
      <c r="AZ13" s="24">
        <f t="shared" si="12"/>
        <v>2175</v>
      </c>
      <c r="BA13" s="30">
        <v>469.0</v>
      </c>
      <c r="BB13" s="30">
        <v>148.0</v>
      </c>
      <c r="BC13" s="30">
        <v>35.0</v>
      </c>
      <c r="BD13" s="30">
        <v>44.0</v>
      </c>
      <c r="BE13" s="30">
        <v>1.0</v>
      </c>
      <c r="BF13" s="30">
        <v>217.0</v>
      </c>
      <c r="BG13" s="30">
        <v>123.0</v>
      </c>
      <c r="BH13" s="31">
        <v>97.0</v>
      </c>
      <c r="BI13" s="24">
        <f t="shared" si="13"/>
        <v>1134</v>
      </c>
      <c r="BJ13" s="36">
        <v>20.0</v>
      </c>
      <c r="BK13" s="36">
        <v>41.0</v>
      </c>
      <c r="BL13" s="36">
        <v>170.0</v>
      </c>
      <c r="BM13" s="36">
        <v>3.0</v>
      </c>
      <c r="BN13" s="36">
        <v>345.0</v>
      </c>
      <c r="BO13" s="36">
        <v>0.0</v>
      </c>
      <c r="BP13" s="37">
        <v>555.0</v>
      </c>
      <c r="BQ13" s="38">
        <f t="shared" si="14"/>
        <v>1134</v>
      </c>
      <c r="BR13" s="39">
        <v>371.0</v>
      </c>
      <c r="BS13" s="36">
        <v>30.0</v>
      </c>
      <c r="BT13" s="37">
        <v>1800.0</v>
      </c>
      <c r="BU13" s="38">
        <f t="shared" si="15"/>
        <v>2201</v>
      </c>
    </row>
    <row r="14" ht="21.0" customHeight="1">
      <c r="A14" s="24" t="s">
        <v>47</v>
      </c>
      <c r="B14" s="40">
        <f t="shared" ref="B14:L14" si="16">SUM(B2:B13)</f>
        <v>11193</v>
      </c>
      <c r="C14" s="41">
        <f t="shared" si="16"/>
        <v>3959</v>
      </c>
      <c r="D14" s="41">
        <f t="shared" si="16"/>
        <v>525</v>
      </c>
      <c r="E14" s="42">
        <f t="shared" si="16"/>
        <v>15677</v>
      </c>
      <c r="F14" s="41">
        <f t="shared" si="16"/>
        <v>2237</v>
      </c>
      <c r="G14" s="41">
        <f t="shared" si="16"/>
        <v>2143</v>
      </c>
      <c r="H14" s="41">
        <f t="shared" si="16"/>
        <v>2301</v>
      </c>
      <c r="I14" s="41">
        <f t="shared" si="16"/>
        <v>2146</v>
      </c>
      <c r="J14" s="41">
        <f t="shared" si="16"/>
        <v>2305</v>
      </c>
      <c r="K14" s="41">
        <f t="shared" si="16"/>
        <v>2265</v>
      </c>
      <c r="L14" s="41">
        <f t="shared" si="16"/>
        <v>2280</v>
      </c>
      <c r="M14" s="24">
        <f t="shared" si="2"/>
        <v>15677</v>
      </c>
      <c r="N14" s="41">
        <f t="shared" ref="N14:BU14" si="17">SUM(N2:N13)</f>
        <v>8324</v>
      </c>
      <c r="O14" s="41">
        <f t="shared" si="17"/>
        <v>7353</v>
      </c>
      <c r="P14" s="24">
        <f t="shared" si="17"/>
        <v>15677</v>
      </c>
      <c r="Q14" s="41">
        <f t="shared" si="17"/>
        <v>7055</v>
      </c>
      <c r="R14" s="43">
        <f t="shared" si="17"/>
        <v>8622</v>
      </c>
      <c r="S14" s="24">
        <f t="shared" si="17"/>
        <v>15677</v>
      </c>
      <c r="T14" s="41">
        <f t="shared" si="17"/>
        <v>11254</v>
      </c>
      <c r="U14" s="41">
        <f t="shared" si="17"/>
        <v>3420</v>
      </c>
      <c r="V14" s="41">
        <f t="shared" si="17"/>
        <v>565</v>
      </c>
      <c r="W14" s="41">
        <f t="shared" si="17"/>
        <v>4938</v>
      </c>
      <c r="X14" s="41">
        <f t="shared" si="17"/>
        <v>2260</v>
      </c>
      <c r="Y14" s="41">
        <f t="shared" si="17"/>
        <v>730</v>
      </c>
      <c r="Z14" s="41">
        <f t="shared" si="17"/>
        <v>771</v>
      </c>
      <c r="AA14" s="24">
        <f t="shared" si="17"/>
        <v>23938</v>
      </c>
      <c r="AB14" s="24">
        <f t="shared" si="17"/>
        <v>2702</v>
      </c>
      <c r="AC14" s="41">
        <f t="shared" si="17"/>
        <v>7956</v>
      </c>
      <c r="AD14" s="41">
        <f t="shared" si="17"/>
        <v>6734</v>
      </c>
      <c r="AE14" s="41">
        <f t="shared" si="17"/>
        <v>4445</v>
      </c>
      <c r="AF14" s="41">
        <f t="shared" si="17"/>
        <v>2030</v>
      </c>
      <c r="AG14" s="24">
        <f t="shared" si="17"/>
        <v>23867</v>
      </c>
      <c r="AH14" s="41">
        <f t="shared" si="17"/>
        <v>15993</v>
      </c>
      <c r="AI14" s="41">
        <f t="shared" si="17"/>
        <v>7874</v>
      </c>
      <c r="AJ14" s="24">
        <f t="shared" si="17"/>
        <v>23867</v>
      </c>
      <c r="AK14" s="41">
        <f t="shared" si="17"/>
        <v>16489</v>
      </c>
      <c r="AL14" s="41">
        <f t="shared" si="17"/>
        <v>7378</v>
      </c>
      <c r="AM14" s="24">
        <f t="shared" si="17"/>
        <v>23867</v>
      </c>
      <c r="AN14" s="41">
        <f t="shared" si="17"/>
        <v>23135</v>
      </c>
      <c r="AO14" s="43">
        <f t="shared" si="17"/>
        <v>732</v>
      </c>
      <c r="AP14" s="24">
        <f t="shared" si="17"/>
        <v>23867</v>
      </c>
      <c r="AQ14" s="41">
        <f t="shared" si="17"/>
        <v>19014</v>
      </c>
      <c r="AR14" s="41">
        <f t="shared" si="17"/>
        <v>3504</v>
      </c>
      <c r="AS14" s="41">
        <f t="shared" si="17"/>
        <v>24</v>
      </c>
      <c r="AT14" s="41">
        <f t="shared" si="17"/>
        <v>18</v>
      </c>
      <c r="AU14" s="43">
        <f t="shared" si="17"/>
        <v>1307</v>
      </c>
      <c r="AV14" s="24">
        <f t="shared" si="17"/>
        <v>23867</v>
      </c>
      <c r="AW14" s="40">
        <f t="shared" si="17"/>
        <v>1307</v>
      </c>
      <c r="AX14" s="41">
        <f t="shared" si="17"/>
        <v>19948</v>
      </c>
      <c r="AY14" s="43">
        <f t="shared" si="17"/>
        <v>2612</v>
      </c>
      <c r="AZ14" s="24">
        <f t="shared" si="17"/>
        <v>23867</v>
      </c>
      <c r="BA14" s="44">
        <f t="shared" si="17"/>
        <v>8748</v>
      </c>
      <c r="BB14" s="44">
        <f t="shared" si="17"/>
        <v>2343</v>
      </c>
      <c r="BC14" s="44">
        <f t="shared" si="17"/>
        <v>414</v>
      </c>
      <c r="BD14" s="44">
        <f t="shared" si="17"/>
        <v>411</v>
      </c>
      <c r="BE14" s="44">
        <f t="shared" si="17"/>
        <v>48</v>
      </c>
      <c r="BF14" s="44">
        <f t="shared" si="17"/>
        <v>1896</v>
      </c>
      <c r="BG14" s="44">
        <f t="shared" si="17"/>
        <v>1187</v>
      </c>
      <c r="BH14" s="44">
        <f t="shared" si="17"/>
        <v>630</v>
      </c>
      <c r="BI14" s="24">
        <f t="shared" si="17"/>
        <v>15677</v>
      </c>
      <c r="BJ14" s="24">
        <f t="shared" si="17"/>
        <v>157</v>
      </c>
      <c r="BK14" s="24">
        <f t="shared" si="17"/>
        <v>667</v>
      </c>
      <c r="BL14" s="24">
        <f t="shared" si="17"/>
        <v>1546</v>
      </c>
      <c r="BM14" s="24">
        <f t="shared" si="17"/>
        <v>85</v>
      </c>
      <c r="BN14" s="24">
        <f t="shared" si="17"/>
        <v>3620</v>
      </c>
      <c r="BO14" s="24">
        <f t="shared" si="17"/>
        <v>3</v>
      </c>
      <c r="BP14" s="24">
        <f t="shared" si="17"/>
        <v>9599</v>
      </c>
      <c r="BQ14" s="24">
        <f t="shared" si="17"/>
        <v>15677</v>
      </c>
      <c r="BR14" s="42">
        <f t="shared" si="17"/>
        <v>5554</v>
      </c>
      <c r="BS14" s="24">
        <f t="shared" si="17"/>
        <v>644</v>
      </c>
      <c r="BT14" s="24">
        <f t="shared" si="17"/>
        <v>19805</v>
      </c>
      <c r="BU14" s="24">
        <f t="shared" si="17"/>
        <v>26003</v>
      </c>
    </row>
    <row r="15" ht="12.75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3" width="8.0"/>
  </cols>
  <sheetData>
    <row r="1" ht="124.5" customHeight="1">
      <c r="A1" s="2" t="s">
        <v>1</v>
      </c>
      <c r="B1" s="3" t="s">
        <v>2</v>
      </c>
      <c r="C1" s="3" t="s">
        <v>3</v>
      </c>
      <c r="D1" s="4" t="s">
        <v>4</v>
      </c>
      <c r="E1" s="5" t="s">
        <v>5</v>
      </c>
      <c r="F1" s="2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6" t="s">
        <v>13</v>
      </c>
      <c r="N1" s="2" t="s">
        <v>14</v>
      </c>
      <c r="O1" s="3" t="s">
        <v>15</v>
      </c>
      <c r="P1" s="6" t="s">
        <v>16</v>
      </c>
      <c r="Q1" s="2" t="s">
        <v>17</v>
      </c>
      <c r="R1" s="3" t="s">
        <v>18</v>
      </c>
      <c r="S1" s="6" t="s">
        <v>19</v>
      </c>
      <c r="T1" s="2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6" t="s">
        <v>27</v>
      </c>
      <c r="AB1" s="2">
        <v>-18.0</v>
      </c>
      <c r="AC1" s="3" t="s">
        <v>28</v>
      </c>
      <c r="AD1" s="3" t="s">
        <v>29</v>
      </c>
      <c r="AE1" s="3" t="s">
        <v>30</v>
      </c>
      <c r="AF1" s="3" t="s">
        <v>31</v>
      </c>
      <c r="AG1" s="6" t="s">
        <v>32</v>
      </c>
      <c r="AH1" s="2" t="s">
        <v>33</v>
      </c>
      <c r="AI1" s="3" t="s">
        <v>34</v>
      </c>
      <c r="AJ1" s="6" t="s">
        <v>35</v>
      </c>
      <c r="AK1" s="2" t="s">
        <v>36</v>
      </c>
      <c r="AL1" s="3" t="s">
        <v>37</v>
      </c>
      <c r="AM1" s="6" t="s">
        <v>38</v>
      </c>
      <c r="AN1" s="2" t="s">
        <v>39</v>
      </c>
      <c r="AO1" s="3" t="s">
        <v>40</v>
      </c>
      <c r="AP1" s="6" t="s">
        <v>41</v>
      </c>
      <c r="AQ1" s="2" t="s">
        <v>42</v>
      </c>
      <c r="AR1" s="3" t="s">
        <v>43</v>
      </c>
      <c r="AS1" s="3" t="s">
        <v>44</v>
      </c>
      <c r="AT1" s="3" t="s">
        <v>45</v>
      </c>
      <c r="AU1" s="7" t="s">
        <v>46</v>
      </c>
      <c r="AV1" s="8" t="s">
        <v>47</v>
      </c>
      <c r="AW1" s="9" t="s">
        <v>46</v>
      </c>
      <c r="AX1" s="3" t="s">
        <v>48</v>
      </c>
      <c r="AY1" s="3" t="s">
        <v>49</v>
      </c>
      <c r="AZ1" s="10" t="s">
        <v>47</v>
      </c>
      <c r="BA1" s="11" t="s">
        <v>50</v>
      </c>
      <c r="BB1" s="12" t="s">
        <v>51</v>
      </c>
      <c r="BC1" s="12" t="s">
        <v>52</v>
      </c>
      <c r="BD1" s="12" t="s">
        <v>53</v>
      </c>
      <c r="BE1" s="13" t="s">
        <v>54</v>
      </c>
      <c r="BF1" s="14" t="s">
        <v>55</v>
      </c>
      <c r="BG1" s="14" t="s">
        <v>56</v>
      </c>
      <c r="BH1" s="15" t="s">
        <v>57</v>
      </c>
      <c r="BI1" s="16" t="s">
        <v>47</v>
      </c>
      <c r="BJ1" s="16" t="s">
        <v>58</v>
      </c>
      <c r="BK1" s="17" t="s">
        <v>59</v>
      </c>
      <c r="BL1" s="18" t="s">
        <v>60</v>
      </c>
      <c r="BM1" s="18" t="s">
        <v>61</v>
      </c>
      <c r="BN1" s="18" t="s">
        <v>62</v>
      </c>
      <c r="BO1" s="18" t="s">
        <v>63</v>
      </c>
      <c r="BP1" s="18" t="s">
        <v>26</v>
      </c>
      <c r="BQ1" s="19" t="s">
        <v>64</v>
      </c>
      <c r="BR1" s="20" t="s">
        <v>65</v>
      </c>
      <c r="BS1" s="21" t="s">
        <v>66</v>
      </c>
      <c r="BT1" s="18" t="s">
        <v>67</v>
      </c>
      <c r="BU1" s="22" t="s">
        <v>68</v>
      </c>
    </row>
    <row r="2" ht="21.0" customHeight="1">
      <c r="A2" s="24" t="s">
        <v>69</v>
      </c>
      <c r="B2" s="25">
        <v>219.0</v>
      </c>
      <c r="C2" s="26">
        <v>25.0</v>
      </c>
      <c r="D2" s="27">
        <v>14.0</v>
      </c>
      <c r="E2" s="28">
        <f t="shared" ref="E2:E13" si="1">SUM(B2:D2)</f>
        <v>258</v>
      </c>
      <c r="F2" s="26">
        <v>37.0</v>
      </c>
      <c r="G2" s="26">
        <v>34.0</v>
      </c>
      <c r="H2" s="26">
        <v>36.0</v>
      </c>
      <c r="I2" s="26">
        <v>37.0</v>
      </c>
      <c r="J2" s="26">
        <v>39.0</v>
      </c>
      <c r="K2" s="26">
        <v>37.0</v>
      </c>
      <c r="L2" s="27">
        <v>38.0</v>
      </c>
      <c r="M2" s="24">
        <f t="shared" ref="M2:M3" si="2">SUM(F2:L2)</f>
        <v>258</v>
      </c>
      <c r="N2" s="26">
        <v>158.0</v>
      </c>
      <c r="O2" s="27">
        <v>100.0</v>
      </c>
      <c r="P2" s="24">
        <f t="shared" ref="P2:P13" si="3">SUM(N2:O2)</f>
        <v>258</v>
      </c>
      <c r="Q2" s="26">
        <v>151.0</v>
      </c>
      <c r="R2" s="27">
        <v>107.0</v>
      </c>
      <c r="S2" s="24">
        <f t="shared" ref="S2:S13" si="4">SUM(Q2:R2)</f>
        <v>258</v>
      </c>
      <c r="T2" s="26">
        <v>134.0</v>
      </c>
      <c r="U2" s="26">
        <v>67.0</v>
      </c>
      <c r="V2" s="26">
        <v>20.0</v>
      </c>
      <c r="W2" s="26">
        <v>29.0</v>
      </c>
      <c r="X2" s="26">
        <v>38.0</v>
      </c>
      <c r="Y2" s="26">
        <v>17.0</v>
      </c>
      <c r="Z2" s="27">
        <v>23.0</v>
      </c>
      <c r="AA2" s="24">
        <f t="shared" ref="AA2:AA13" si="5">SUM(T2:Z2)</f>
        <v>328</v>
      </c>
      <c r="AB2" s="26">
        <v>133.0</v>
      </c>
      <c r="AC2" s="26">
        <v>50.0</v>
      </c>
      <c r="AD2" s="26">
        <v>51.0</v>
      </c>
      <c r="AE2" s="26">
        <v>55.0</v>
      </c>
      <c r="AF2" s="26">
        <v>31.0</v>
      </c>
      <c r="AG2" s="24">
        <f t="shared" ref="AG2:AG13" si="6">SUM(AB2:AF2)</f>
        <v>320</v>
      </c>
      <c r="AH2" s="26">
        <v>179.0</v>
      </c>
      <c r="AI2" s="26">
        <v>141.0</v>
      </c>
      <c r="AJ2" s="24">
        <f t="shared" ref="AJ2:AJ13" si="7">SUM(AH2:AI2)</f>
        <v>320</v>
      </c>
      <c r="AK2" s="26">
        <v>177.0</v>
      </c>
      <c r="AL2" s="26">
        <v>143.0</v>
      </c>
      <c r="AM2" s="24">
        <f t="shared" ref="AM2:AM13" si="8">SUM(AK2:AL2)</f>
        <v>320</v>
      </c>
      <c r="AN2" s="26">
        <v>266.0</v>
      </c>
      <c r="AO2" s="27">
        <v>54.0</v>
      </c>
      <c r="AP2" s="24">
        <f t="shared" ref="AP2:AP13" si="9">SUM(AN2:AO2)</f>
        <v>320</v>
      </c>
      <c r="AQ2" s="26">
        <v>140.0</v>
      </c>
      <c r="AR2" s="26">
        <v>22.0</v>
      </c>
      <c r="AS2" s="26">
        <v>1.0</v>
      </c>
      <c r="AT2" s="26">
        <v>1.0</v>
      </c>
      <c r="AU2" s="27">
        <v>156.0</v>
      </c>
      <c r="AV2" s="24">
        <f t="shared" ref="AV2:AV13" si="10">SUM(AQ2:AU2)</f>
        <v>320</v>
      </c>
      <c r="AW2" s="29">
        <f t="shared" ref="AW2:AW13" si="11">AU2</f>
        <v>156</v>
      </c>
      <c r="AX2" s="26">
        <v>154.0</v>
      </c>
      <c r="AY2" s="27">
        <v>10.0</v>
      </c>
      <c r="AZ2" s="24">
        <f t="shared" ref="AZ2:AZ13" si="12">SUM(AW2:AY2)</f>
        <v>320</v>
      </c>
      <c r="BA2" s="30">
        <v>140.0</v>
      </c>
      <c r="BB2" s="30">
        <v>48.0</v>
      </c>
      <c r="BC2" s="30">
        <v>8.0</v>
      </c>
      <c r="BD2" s="30">
        <v>5.0</v>
      </c>
      <c r="BE2" s="30">
        <v>19.0</v>
      </c>
      <c r="BF2" s="30">
        <v>16.0</v>
      </c>
      <c r="BG2" s="30">
        <v>9.0</v>
      </c>
      <c r="BH2" s="31">
        <v>13.0</v>
      </c>
      <c r="BI2" s="24">
        <f t="shared" ref="BI2:BI13" si="13">SUM(BA2:BH2)</f>
        <v>258</v>
      </c>
      <c r="BJ2" s="30">
        <v>20.0</v>
      </c>
      <c r="BK2" s="30">
        <v>31.0</v>
      </c>
      <c r="BL2" s="30">
        <v>15.0</v>
      </c>
      <c r="BM2" s="30">
        <v>25.0</v>
      </c>
      <c r="BN2" s="30">
        <v>40.0</v>
      </c>
      <c r="BO2" s="30">
        <v>0.0</v>
      </c>
      <c r="BP2" s="31">
        <v>127.0</v>
      </c>
      <c r="BQ2" s="24">
        <f t="shared" ref="BQ2:BQ13" si="14">SUM(BJ2:BP2)</f>
        <v>258</v>
      </c>
      <c r="BR2" s="32">
        <v>25.0</v>
      </c>
      <c r="BS2" s="30">
        <v>16.0</v>
      </c>
      <c r="BT2" s="31">
        <v>223.0</v>
      </c>
      <c r="BU2" s="24">
        <f t="shared" ref="BU2:BU13" si="15">SUM(BR2:BT2)</f>
        <v>264</v>
      </c>
    </row>
    <row r="3" ht="21.0" customHeight="1">
      <c r="A3" s="24" t="s">
        <v>70</v>
      </c>
      <c r="B3" s="33">
        <v>184.0</v>
      </c>
      <c r="C3" s="30">
        <v>57.0</v>
      </c>
      <c r="D3" s="31">
        <v>8.0</v>
      </c>
      <c r="E3" s="28">
        <f t="shared" si="1"/>
        <v>249</v>
      </c>
      <c r="F3" s="30">
        <v>35.0</v>
      </c>
      <c r="G3" s="30">
        <v>34.0</v>
      </c>
      <c r="H3" s="30">
        <v>36.0</v>
      </c>
      <c r="I3" s="30">
        <v>35.0</v>
      </c>
      <c r="J3" s="30">
        <v>36.0</v>
      </c>
      <c r="K3" s="30">
        <v>37.0</v>
      </c>
      <c r="L3" s="31">
        <v>36.0</v>
      </c>
      <c r="M3" s="24">
        <f t="shared" si="2"/>
        <v>249</v>
      </c>
      <c r="N3" s="30">
        <v>153.0</v>
      </c>
      <c r="O3" s="31">
        <v>96.0</v>
      </c>
      <c r="P3" s="24">
        <f t="shared" si="3"/>
        <v>249</v>
      </c>
      <c r="Q3" s="30">
        <v>145.0</v>
      </c>
      <c r="R3" s="31">
        <v>104.0</v>
      </c>
      <c r="S3" s="24">
        <f t="shared" si="4"/>
        <v>249</v>
      </c>
      <c r="T3" s="30">
        <v>134.0</v>
      </c>
      <c r="U3" s="30">
        <v>67.0</v>
      </c>
      <c r="V3" s="30">
        <v>13.0</v>
      </c>
      <c r="W3" s="30">
        <v>29.0</v>
      </c>
      <c r="X3" s="30">
        <v>38.0</v>
      </c>
      <c r="Y3" s="30">
        <v>11.0</v>
      </c>
      <c r="Z3" s="31">
        <v>23.0</v>
      </c>
      <c r="AA3" s="24">
        <f t="shared" si="5"/>
        <v>315</v>
      </c>
      <c r="AB3" s="30">
        <v>131.0</v>
      </c>
      <c r="AC3" s="30">
        <v>47.0</v>
      </c>
      <c r="AD3" s="30">
        <v>51.0</v>
      </c>
      <c r="AE3" s="30">
        <v>55.0</v>
      </c>
      <c r="AF3" s="30">
        <v>31.0</v>
      </c>
      <c r="AG3" s="24">
        <f t="shared" si="6"/>
        <v>315</v>
      </c>
      <c r="AH3" s="30">
        <v>177.0</v>
      </c>
      <c r="AI3" s="30">
        <v>138.0</v>
      </c>
      <c r="AJ3" s="24">
        <f t="shared" si="7"/>
        <v>315</v>
      </c>
      <c r="AK3" s="30">
        <v>174.0</v>
      </c>
      <c r="AL3" s="30">
        <v>141.0</v>
      </c>
      <c r="AM3" s="24">
        <f t="shared" si="8"/>
        <v>315</v>
      </c>
      <c r="AN3" s="30">
        <v>265.0</v>
      </c>
      <c r="AO3" s="31">
        <v>50.0</v>
      </c>
      <c r="AP3" s="24">
        <f t="shared" si="9"/>
        <v>315</v>
      </c>
      <c r="AQ3" s="30">
        <v>138.0</v>
      </c>
      <c r="AR3" s="30">
        <v>22.0</v>
      </c>
      <c r="AS3" s="30">
        <v>0.0</v>
      </c>
      <c r="AT3" s="30">
        <v>0.0</v>
      </c>
      <c r="AU3" s="31">
        <v>155.0</v>
      </c>
      <c r="AV3" s="24">
        <f t="shared" si="10"/>
        <v>315</v>
      </c>
      <c r="AW3" s="29">
        <f t="shared" si="11"/>
        <v>155</v>
      </c>
      <c r="AX3" s="30">
        <v>151.0</v>
      </c>
      <c r="AY3" s="31">
        <v>9.0</v>
      </c>
      <c r="AZ3" s="24">
        <f t="shared" si="12"/>
        <v>315</v>
      </c>
      <c r="BA3" s="30">
        <v>139.0</v>
      </c>
      <c r="BB3" s="30">
        <v>41.0</v>
      </c>
      <c r="BC3" s="30">
        <v>8.0</v>
      </c>
      <c r="BD3" s="30">
        <v>5.0</v>
      </c>
      <c r="BE3" s="30">
        <v>18.0</v>
      </c>
      <c r="BF3" s="30">
        <v>16.0</v>
      </c>
      <c r="BG3" s="30">
        <v>9.0</v>
      </c>
      <c r="BH3" s="31">
        <v>13.0</v>
      </c>
      <c r="BI3" s="24">
        <f t="shared" si="13"/>
        <v>249</v>
      </c>
      <c r="BJ3" s="30">
        <v>25.0</v>
      </c>
      <c r="BK3" s="30">
        <v>38.0</v>
      </c>
      <c r="BL3" s="30">
        <v>35.0</v>
      </c>
      <c r="BM3" s="30">
        <v>30.0</v>
      </c>
      <c r="BN3" s="30">
        <v>46.0</v>
      </c>
      <c r="BO3" s="30">
        <v>0.0</v>
      </c>
      <c r="BP3" s="31">
        <v>75.0</v>
      </c>
      <c r="BQ3" s="24">
        <f t="shared" si="14"/>
        <v>249</v>
      </c>
      <c r="BR3" s="32">
        <v>57.0</v>
      </c>
      <c r="BS3" s="30">
        <v>8.0</v>
      </c>
      <c r="BT3" s="31">
        <v>295.0</v>
      </c>
      <c r="BU3" s="24">
        <f t="shared" si="15"/>
        <v>360</v>
      </c>
    </row>
    <row r="4" ht="21.0" customHeight="1">
      <c r="A4" s="24" t="s">
        <v>71</v>
      </c>
      <c r="B4" s="33">
        <v>195.0</v>
      </c>
      <c r="C4" s="30">
        <v>58.0</v>
      </c>
      <c r="D4" s="31">
        <v>11.0</v>
      </c>
      <c r="E4" s="28">
        <f t="shared" si="1"/>
        <v>264</v>
      </c>
      <c r="F4" s="30">
        <v>38.0</v>
      </c>
      <c r="G4" s="30">
        <v>36.0</v>
      </c>
      <c r="H4" s="30">
        <v>38.0</v>
      </c>
      <c r="I4" s="30">
        <v>37.0</v>
      </c>
      <c r="J4" s="30">
        <v>38.0</v>
      </c>
      <c r="K4" s="30">
        <v>39.0</v>
      </c>
      <c r="L4" s="31">
        <v>38.0</v>
      </c>
      <c r="M4" s="24">
        <f t="shared" ref="M4:M13" si="16">F4+G4+H4+I4+J4+K4+L4</f>
        <v>264</v>
      </c>
      <c r="N4" s="30">
        <v>163.0</v>
      </c>
      <c r="O4" s="31">
        <v>101.0</v>
      </c>
      <c r="P4" s="24">
        <f t="shared" si="3"/>
        <v>264</v>
      </c>
      <c r="Q4" s="30">
        <v>154.0</v>
      </c>
      <c r="R4" s="31">
        <v>110.0</v>
      </c>
      <c r="S4" s="24">
        <f t="shared" si="4"/>
        <v>264</v>
      </c>
      <c r="T4" s="30">
        <v>136.0</v>
      </c>
      <c r="U4" s="30">
        <v>69.0</v>
      </c>
      <c r="V4" s="30">
        <v>13.0</v>
      </c>
      <c r="W4" s="30">
        <v>31.0</v>
      </c>
      <c r="X4" s="30">
        <v>40.0</v>
      </c>
      <c r="Y4" s="30">
        <v>11.0</v>
      </c>
      <c r="Z4" s="31">
        <v>27.0</v>
      </c>
      <c r="AA4" s="24">
        <f t="shared" si="5"/>
        <v>327</v>
      </c>
      <c r="AB4" s="30">
        <v>134.0</v>
      </c>
      <c r="AC4" s="30">
        <v>50.0</v>
      </c>
      <c r="AD4" s="30">
        <v>54.0</v>
      </c>
      <c r="AE4" s="30">
        <v>58.0</v>
      </c>
      <c r="AF4" s="30">
        <v>31.0</v>
      </c>
      <c r="AG4" s="24">
        <f t="shared" si="6"/>
        <v>327</v>
      </c>
      <c r="AH4" s="30">
        <v>185.0</v>
      </c>
      <c r="AI4" s="30">
        <v>142.0</v>
      </c>
      <c r="AJ4" s="24">
        <f t="shared" si="7"/>
        <v>327</v>
      </c>
      <c r="AK4" s="30">
        <v>180.0</v>
      </c>
      <c r="AL4" s="30">
        <v>147.0</v>
      </c>
      <c r="AM4" s="24">
        <f t="shared" si="8"/>
        <v>327</v>
      </c>
      <c r="AN4" s="30">
        <v>277.0</v>
      </c>
      <c r="AO4" s="31">
        <v>50.0</v>
      </c>
      <c r="AP4" s="24">
        <f t="shared" si="9"/>
        <v>327</v>
      </c>
      <c r="AQ4" s="30">
        <v>140.0</v>
      </c>
      <c r="AR4" s="30">
        <v>24.0</v>
      </c>
      <c r="AS4" s="30">
        <v>0.0</v>
      </c>
      <c r="AT4" s="30">
        <v>0.0</v>
      </c>
      <c r="AU4" s="31">
        <v>163.0</v>
      </c>
      <c r="AV4" s="24">
        <f t="shared" si="10"/>
        <v>327</v>
      </c>
      <c r="AW4" s="29">
        <f t="shared" si="11"/>
        <v>163</v>
      </c>
      <c r="AX4" s="30">
        <v>157.0</v>
      </c>
      <c r="AY4" s="31">
        <v>7.0</v>
      </c>
      <c r="AZ4" s="24">
        <f t="shared" si="12"/>
        <v>327</v>
      </c>
      <c r="BA4" s="30">
        <v>141.0</v>
      </c>
      <c r="BB4" s="30">
        <v>38.0</v>
      </c>
      <c r="BC4" s="30">
        <v>6.0</v>
      </c>
      <c r="BD4" s="30">
        <v>3.0</v>
      </c>
      <c r="BE4" s="30">
        <v>13.0</v>
      </c>
      <c r="BF4" s="30">
        <v>23.0</v>
      </c>
      <c r="BG4" s="30">
        <v>17.0</v>
      </c>
      <c r="BH4" s="31">
        <v>23.0</v>
      </c>
      <c r="BI4" s="24">
        <f t="shared" si="13"/>
        <v>264</v>
      </c>
      <c r="BJ4" s="30">
        <v>15.0</v>
      </c>
      <c r="BK4" s="30">
        <v>27.0</v>
      </c>
      <c r="BL4" s="30">
        <v>38.0</v>
      </c>
      <c r="BM4" s="30">
        <v>37.0</v>
      </c>
      <c r="BN4" s="30">
        <v>45.0</v>
      </c>
      <c r="BO4" s="30">
        <v>0.0</v>
      </c>
      <c r="BP4" s="31">
        <v>102.0</v>
      </c>
      <c r="BQ4" s="24">
        <f t="shared" si="14"/>
        <v>264</v>
      </c>
      <c r="BR4" s="32">
        <v>58.0</v>
      </c>
      <c r="BS4" s="30">
        <v>11.0</v>
      </c>
      <c r="BT4" s="31">
        <v>315.0</v>
      </c>
      <c r="BU4" s="24">
        <f t="shared" si="15"/>
        <v>384</v>
      </c>
    </row>
    <row r="5" ht="21.0" customHeight="1">
      <c r="A5" s="24" t="s">
        <v>72</v>
      </c>
      <c r="B5" s="33">
        <v>186.0</v>
      </c>
      <c r="C5" s="30">
        <v>33.0</v>
      </c>
      <c r="D5" s="31">
        <v>24.0</v>
      </c>
      <c r="E5" s="28">
        <f t="shared" si="1"/>
        <v>243</v>
      </c>
      <c r="F5" s="30">
        <v>35.0</v>
      </c>
      <c r="G5" s="30">
        <v>33.0</v>
      </c>
      <c r="H5" s="30">
        <v>35.0</v>
      </c>
      <c r="I5" s="30">
        <v>34.0</v>
      </c>
      <c r="J5" s="30">
        <v>35.0</v>
      </c>
      <c r="K5" s="30">
        <v>36.0</v>
      </c>
      <c r="L5" s="31">
        <v>35.0</v>
      </c>
      <c r="M5" s="24">
        <f t="shared" si="16"/>
        <v>243</v>
      </c>
      <c r="N5" s="30">
        <v>153.0</v>
      </c>
      <c r="O5" s="31">
        <v>90.0</v>
      </c>
      <c r="P5" s="24">
        <f t="shared" si="3"/>
        <v>243</v>
      </c>
      <c r="Q5" s="30">
        <v>136.0</v>
      </c>
      <c r="R5" s="31">
        <v>107.0</v>
      </c>
      <c r="S5" s="24">
        <f t="shared" si="4"/>
        <v>243</v>
      </c>
      <c r="T5" s="30">
        <v>133.0</v>
      </c>
      <c r="U5" s="30">
        <v>66.0</v>
      </c>
      <c r="V5" s="30">
        <v>10.0</v>
      </c>
      <c r="W5" s="30">
        <v>28.0</v>
      </c>
      <c r="X5" s="30">
        <v>37.0</v>
      </c>
      <c r="Y5" s="30">
        <v>8.0</v>
      </c>
      <c r="Z5" s="31">
        <v>24.0</v>
      </c>
      <c r="AA5" s="24">
        <f t="shared" si="5"/>
        <v>306</v>
      </c>
      <c r="AB5" s="30">
        <v>129.0</v>
      </c>
      <c r="AC5" s="30">
        <v>46.0</v>
      </c>
      <c r="AD5" s="30">
        <v>50.0</v>
      </c>
      <c r="AE5" s="30">
        <v>54.0</v>
      </c>
      <c r="AF5" s="30">
        <v>27.0</v>
      </c>
      <c r="AG5" s="24">
        <f t="shared" si="6"/>
        <v>306</v>
      </c>
      <c r="AH5" s="30">
        <v>174.0</v>
      </c>
      <c r="AI5" s="30">
        <v>132.0</v>
      </c>
      <c r="AJ5" s="24">
        <f t="shared" si="7"/>
        <v>306</v>
      </c>
      <c r="AK5" s="30">
        <v>169.0</v>
      </c>
      <c r="AL5" s="30">
        <v>137.0</v>
      </c>
      <c r="AM5" s="24">
        <f t="shared" si="8"/>
        <v>306</v>
      </c>
      <c r="AN5" s="30">
        <v>263.0</v>
      </c>
      <c r="AO5" s="31">
        <v>43.0</v>
      </c>
      <c r="AP5" s="24">
        <f t="shared" si="9"/>
        <v>306</v>
      </c>
      <c r="AQ5" s="30">
        <v>133.0</v>
      </c>
      <c r="AR5" s="30">
        <v>17.0</v>
      </c>
      <c r="AS5" s="30">
        <v>0.0</v>
      </c>
      <c r="AT5" s="30">
        <v>0.0</v>
      </c>
      <c r="AU5" s="31">
        <v>156.0</v>
      </c>
      <c r="AV5" s="24">
        <f t="shared" si="10"/>
        <v>306</v>
      </c>
      <c r="AW5" s="29">
        <f t="shared" si="11"/>
        <v>156</v>
      </c>
      <c r="AX5" s="30">
        <v>150.0</v>
      </c>
      <c r="AY5" s="31">
        <v>0.0</v>
      </c>
      <c r="AZ5" s="24">
        <f t="shared" si="12"/>
        <v>306</v>
      </c>
      <c r="BA5" s="30">
        <v>138.0</v>
      </c>
      <c r="BB5" s="30">
        <v>35.0</v>
      </c>
      <c r="BC5" s="30">
        <v>3.0</v>
      </c>
      <c r="BD5" s="30">
        <v>0.0</v>
      </c>
      <c r="BE5" s="30">
        <v>10.0</v>
      </c>
      <c r="BF5" s="30">
        <v>23.0</v>
      </c>
      <c r="BG5" s="30">
        <v>14.0</v>
      </c>
      <c r="BH5" s="31">
        <v>20.0</v>
      </c>
      <c r="BI5" s="24">
        <f t="shared" si="13"/>
        <v>243</v>
      </c>
      <c r="BJ5" s="30">
        <v>35.0</v>
      </c>
      <c r="BK5" s="30">
        <v>37.0</v>
      </c>
      <c r="BL5" s="30">
        <v>30.0</v>
      </c>
      <c r="BM5" s="30">
        <v>40.0</v>
      </c>
      <c r="BN5" s="30">
        <v>60.0</v>
      </c>
      <c r="BO5" s="30">
        <v>0.0</v>
      </c>
      <c r="BP5" s="31">
        <v>41.0</v>
      </c>
      <c r="BQ5" s="24">
        <f t="shared" si="14"/>
        <v>243</v>
      </c>
      <c r="BR5" s="32">
        <v>33.0</v>
      </c>
      <c r="BS5" s="30">
        <v>24.0</v>
      </c>
      <c r="BT5" s="31">
        <v>208.0</v>
      </c>
      <c r="BU5" s="24">
        <f t="shared" si="15"/>
        <v>265</v>
      </c>
    </row>
    <row r="6" ht="21.0" customHeight="1">
      <c r="A6" s="34" t="s">
        <v>73</v>
      </c>
      <c r="B6" s="33">
        <v>203.0</v>
      </c>
      <c r="C6" s="30">
        <v>36.0</v>
      </c>
      <c r="D6" s="31">
        <v>16.0</v>
      </c>
      <c r="E6" s="28">
        <f t="shared" si="1"/>
        <v>255</v>
      </c>
      <c r="F6" s="30">
        <v>35.0</v>
      </c>
      <c r="G6" s="30">
        <v>36.0</v>
      </c>
      <c r="H6" s="30">
        <v>39.0</v>
      </c>
      <c r="I6" s="30">
        <v>34.0</v>
      </c>
      <c r="J6" s="30">
        <v>40.0</v>
      </c>
      <c r="K6" s="30">
        <v>33.0</v>
      </c>
      <c r="L6" s="31">
        <v>38.0</v>
      </c>
      <c r="M6" s="24">
        <f t="shared" si="16"/>
        <v>255</v>
      </c>
      <c r="N6" s="30">
        <v>162.0</v>
      </c>
      <c r="O6" s="31">
        <v>93.0</v>
      </c>
      <c r="P6" s="24">
        <f t="shared" si="3"/>
        <v>255</v>
      </c>
      <c r="Q6" s="30">
        <v>145.0</v>
      </c>
      <c r="R6" s="31">
        <v>110.0</v>
      </c>
      <c r="S6" s="24">
        <f t="shared" si="4"/>
        <v>255</v>
      </c>
      <c r="T6" s="30">
        <v>133.0</v>
      </c>
      <c r="U6" s="30">
        <v>66.0</v>
      </c>
      <c r="V6" s="30">
        <v>10.0</v>
      </c>
      <c r="W6" s="30">
        <v>28.0</v>
      </c>
      <c r="X6" s="30">
        <v>37.0</v>
      </c>
      <c r="Y6" s="30">
        <v>8.0</v>
      </c>
      <c r="Z6" s="31">
        <v>24.0</v>
      </c>
      <c r="AA6" s="24">
        <f t="shared" si="5"/>
        <v>306</v>
      </c>
      <c r="AB6" s="30">
        <v>129.0</v>
      </c>
      <c r="AC6" s="30">
        <v>46.0</v>
      </c>
      <c r="AD6" s="30">
        <v>50.0</v>
      </c>
      <c r="AE6" s="30">
        <v>54.0</v>
      </c>
      <c r="AF6" s="30">
        <v>27.0</v>
      </c>
      <c r="AG6" s="24">
        <f t="shared" si="6"/>
        <v>306</v>
      </c>
      <c r="AH6" s="30">
        <v>174.0</v>
      </c>
      <c r="AI6" s="30">
        <v>132.0</v>
      </c>
      <c r="AJ6" s="24">
        <f t="shared" si="7"/>
        <v>306</v>
      </c>
      <c r="AK6" s="30">
        <v>169.0</v>
      </c>
      <c r="AL6" s="30">
        <v>137.0</v>
      </c>
      <c r="AM6" s="24">
        <f t="shared" si="8"/>
        <v>306</v>
      </c>
      <c r="AN6" s="30">
        <v>266.0</v>
      </c>
      <c r="AO6" s="31">
        <v>40.0</v>
      </c>
      <c r="AP6" s="24">
        <f t="shared" si="9"/>
        <v>306</v>
      </c>
      <c r="AQ6" s="30">
        <v>133.0</v>
      </c>
      <c r="AR6" s="30">
        <v>17.0</v>
      </c>
      <c r="AS6" s="30">
        <v>0.0</v>
      </c>
      <c r="AT6" s="30">
        <v>0.0</v>
      </c>
      <c r="AU6" s="31">
        <v>156.0</v>
      </c>
      <c r="AV6" s="24">
        <f t="shared" si="10"/>
        <v>306</v>
      </c>
      <c r="AW6" s="29">
        <f t="shared" si="11"/>
        <v>156</v>
      </c>
      <c r="AX6" s="30">
        <v>150.0</v>
      </c>
      <c r="AY6" s="31">
        <v>0.0</v>
      </c>
      <c r="AZ6" s="24">
        <f t="shared" si="12"/>
        <v>306</v>
      </c>
      <c r="BA6" s="30">
        <v>138.0</v>
      </c>
      <c r="BB6" s="30">
        <v>35.0</v>
      </c>
      <c r="BC6" s="30">
        <v>3.0</v>
      </c>
      <c r="BD6" s="30">
        <v>0.0</v>
      </c>
      <c r="BE6" s="30">
        <v>10.0</v>
      </c>
      <c r="BF6" s="30">
        <v>23.0</v>
      </c>
      <c r="BG6" s="30">
        <v>14.0</v>
      </c>
      <c r="BH6" s="31">
        <v>32.0</v>
      </c>
      <c r="BI6" s="24">
        <f t="shared" si="13"/>
        <v>255</v>
      </c>
      <c r="BJ6" s="30">
        <v>26.0</v>
      </c>
      <c r="BK6" s="30">
        <v>31.0</v>
      </c>
      <c r="BL6" s="30">
        <v>25.0</v>
      </c>
      <c r="BM6" s="30">
        <v>35.0</v>
      </c>
      <c r="BN6" s="30">
        <v>55.0</v>
      </c>
      <c r="BO6" s="30">
        <v>0.0</v>
      </c>
      <c r="BP6" s="31">
        <v>83.0</v>
      </c>
      <c r="BQ6" s="24">
        <f t="shared" si="14"/>
        <v>255</v>
      </c>
      <c r="BR6" s="32">
        <v>36.0</v>
      </c>
      <c r="BS6" s="30">
        <v>16.0</v>
      </c>
      <c r="BT6" s="31">
        <v>225.0</v>
      </c>
      <c r="BU6" s="24">
        <f t="shared" si="15"/>
        <v>277</v>
      </c>
    </row>
    <row r="7" ht="21.0" customHeight="1">
      <c r="A7" s="34" t="s">
        <v>74</v>
      </c>
      <c r="B7" s="33">
        <v>139.0</v>
      </c>
      <c r="C7" s="30">
        <v>48.0</v>
      </c>
      <c r="D7" s="31">
        <v>6.0</v>
      </c>
      <c r="E7" s="28">
        <f t="shared" si="1"/>
        <v>193</v>
      </c>
      <c r="F7" s="30">
        <v>27.0</v>
      </c>
      <c r="G7" s="30">
        <v>28.0</v>
      </c>
      <c r="H7" s="30">
        <v>31.0</v>
      </c>
      <c r="I7" s="30">
        <v>20.0</v>
      </c>
      <c r="J7" s="30">
        <v>32.0</v>
      </c>
      <c r="K7" s="30">
        <v>25.0</v>
      </c>
      <c r="L7" s="31">
        <v>30.0</v>
      </c>
      <c r="M7" s="24">
        <f t="shared" si="16"/>
        <v>193</v>
      </c>
      <c r="N7" s="30">
        <v>102.0</v>
      </c>
      <c r="O7" s="31">
        <v>91.0</v>
      </c>
      <c r="P7" s="24">
        <f t="shared" si="3"/>
        <v>193</v>
      </c>
      <c r="Q7" s="30">
        <v>110.0</v>
      </c>
      <c r="R7" s="31">
        <v>83.0</v>
      </c>
      <c r="S7" s="24">
        <f t="shared" si="4"/>
        <v>193</v>
      </c>
      <c r="T7" s="30">
        <v>115.0</v>
      </c>
      <c r="U7" s="30">
        <v>58.0</v>
      </c>
      <c r="V7" s="30">
        <v>4.0</v>
      </c>
      <c r="W7" s="30">
        <v>20.0</v>
      </c>
      <c r="X7" s="30">
        <v>29.0</v>
      </c>
      <c r="Y7" s="30">
        <v>2.0</v>
      </c>
      <c r="Z7" s="31">
        <v>16.0</v>
      </c>
      <c r="AA7" s="24">
        <f t="shared" si="5"/>
        <v>244</v>
      </c>
      <c r="AB7" s="30">
        <v>79.0</v>
      </c>
      <c r="AC7" s="30">
        <v>42.0</v>
      </c>
      <c r="AD7" s="30">
        <v>46.0</v>
      </c>
      <c r="AE7" s="30">
        <v>50.0</v>
      </c>
      <c r="AF7" s="30">
        <v>27.0</v>
      </c>
      <c r="AG7" s="24">
        <f t="shared" si="6"/>
        <v>244</v>
      </c>
      <c r="AH7" s="30">
        <v>134.0</v>
      </c>
      <c r="AI7" s="30">
        <v>110.0</v>
      </c>
      <c r="AJ7" s="24">
        <f t="shared" si="7"/>
        <v>244</v>
      </c>
      <c r="AK7" s="30">
        <v>107.0</v>
      </c>
      <c r="AL7" s="30">
        <v>137.0</v>
      </c>
      <c r="AM7" s="24">
        <f t="shared" si="8"/>
        <v>244</v>
      </c>
      <c r="AN7" s="30">
        <v>204.0</v>
      </c>
      <c r="AO7" s="31">
        <v>40.0</v>
      </c>
      <c r="AP7" s="24">
        <f t="shared" si="9"/>
        <v>244</v>
      </c>
      <c r="AQ7" s="30">
        <v>151.0</v>
      </c>
      <c r="AR7" s="30">
        <v>35.0</v>
      </c>
      <c r="AS7" s="30">
        <v>0.0</v>
      </c>
      <c r="AT7" s="30">
        <v>0.0</v>
      </c>
      <c r="AU7" s="31">
        <v>58.0</v>
      </c>
      <c r="AV7" s="24">
        <f t="shared" si="10"/>
        <v>244</v>
      </c>
      <c r="AW7" s="29">
        <f t="shared" si="11"/>
        <v>58</v>
      </c>
      <c r="AX7" s="30">
        <v>178.0</v>
      </c>
      <c r="AY7" s="31">
        <v>8.0</v>
      </c>
      <c r="AZ7" s="24">
        <f t="shared" si="12"/>
        <v>244</v>
      </c>
      <c r="BA7" s="30">
        <v>88.0</v>
      </c>
      <c r="BB7" s="30">
        <v>35.0</v>
      </c>
      <c r="BC7" s="30">
        <v>3.0</v>
      </c>
      <c r="BD7" s="30">
        <v>0.0</v>
      </c>
      <c r="BE7" s="30">
        <v>10.0</v>
      </c>
      <c r="BF7" s="30">
        <v>23.0</v>
      </c>
      <c r="BG7" s="30">
        <v>14.0</v>
      </c>
      <c r="BH7" s="31">
        <v>20.0</v>
      </c>
      <c r="BI7" s="24">
        <f t="shared" si="13"/>
        <v>193</v>
      </c>
      <c r="BJ7" s="30">
        <v>17.0</v>
      </c>
      <c r="BK7" s="30">
        <v>25.0</v>
      </c>
      <c r="BL7" s="30">
        <v>27.0</v>
      </c>
      <c r="BM7" s="30">
        <v>32.0</v>
      </c>
      <c r="BN7" s="30">
        <v>35.0</v>
      </c>
      <c r="BO7" s="30">
        <v>0.0</v>
      </c>
      <c r="BP7" s="31">
        <v>57.0</v>
      </c>
      <c r="BQ7" s="24">
        <f t="shared" si="14"/>
        <v>193</v>
      </c>
      <c r="BR7" s="32">
        <v>48.0</v>
      </c>
      <c r="BS7" s="30">
        <v>6.0</v>
      </c>
      <c r="BT7" s="31">
        <v>161.0</v>
      </c>
      <c r="BU7" s="24">
        <f t="shared" si="15"/>
        <v>215</v>
      </c>
    </row>
    <row r="8" ht="21.0" customHeight="1">
      <c r="A8" s="24" t="s">
        <v>75</v>
      </c>
      <c r="B8" s="33">
        <v>219.0</v>
      </c>
      <c r="C8" s="30">
        <v>58.0</v>
      </c>
      <c r="D8" s="31">
        <v>13.0</v>
      </c>
      <c r="E8" s="28">
        <f t="shared" si="1"/>
        <v>290</v>
      </c>
      <c r="F8" s="30">
        <v>42.0</v>
      </c>
      <c r="G8" s="30">
        <v>33.0</v>
      </c>
      <c r="H8" s="30">
        <v>39.0</v>
      </c>
      <c r="I8" s="30">
        <v>45.0</v>
      </c>
      <c r="J8" s="30">
        <v>40.0</v>
      </c>
      <c r="K8" s="30">
        <v>47.0</v>
      </c>
      <c r="L8" s="31">
        <v>44.0</v>
      </c>
      <c r="M8" s="24">
        <f t="shared" si="16"/>
        <v>290</v>
      </c>
      <c r="N8" s="30">
        <v>190.0</v>
      </c>
      <c r="O8" s="31">
        <v>100.0</v>
      </c>
      <c r="P8" s="24">
        <f t="shared" si="3"/>
        <v>290</v>
      </c>
      <c r="Q8" s="30">
        <v>210.0</v>
      </c>
      <c r="R8" s="31">
        <v>80.0</v>
      </c>
      <c r="S8" s="24">
        <f t="shared" si="4"/>
        <v>290</v>
      </c>
      <c r="T8" s="30">
        <v>130.0</v>
      </c>
      <c r="U8" s="30">
        <v>52.0</v>
      </c>
      <c r="V8" s="30">
        <v>4.0</v>
      </c>
      <c r="W8" s="30">
        <v>33.0</v>
      </c>
      <c r="X8" s="30">
        <v>29.0</v>
      </c>
      <c r="Y8" s="30">
        <v>6.0</v>
      </c>
      <c r="Z8" s="31">
        <v>36.0</v>
      </c>
      <c r="AA8" s="24">
        <f t="shared" si="5"/>
        <v>290</v>
      </c>
      <c r="AB8" s="30">
        <v>79.0</v>
      </c>
      <c r="AC8" s="30">
        <v>58.0</v>
      </c>
      <c r="AD8" s="30">
        <v>62.0</v>
      </c>
      <c r="AE8" s="30">
        <v>54.0</v>
      </c>
      <c r="AF8" s="30">
        <v>37.0</v>
      </c>
      <c r="AG8" s="24">
        <f t="shared" si="6"/>
        <v>290</v>
      </c>
      <c r="AH8" s="30">
        <v>154.0</v>
      </c>
      <c r="AI8" s="30">
        <v>136.0</v>
      </c>
      <c r="AJ8" s="24">
        <f t="shared" si="7"/>
        <v>290</v>
      </c>
      <c r="AK8" s="30">
        <v>182.0</v>
      </c>
      <c r="AL8" s="30">
        <v>108.0</v>
      </c>
      <c r="AM8" s="24">
        <f t="shared" si="8"/>
        <v>290</v>
      </c>
      <c r="AN8" s="30">
        <v>244.0</v>
      </c>
      <c r="AO8" s="31">
        <v>46.0</v>
      </c>
      <c r="AP8" s="24">
        <f t="shared" si="9"/>
        <v>290</v>
      </c>
      <c r="AQ8" s="30">
        <v>220.0</v>
      </c>
      <c r="AR8" s="30">
        <v>60.0</v>
      </c>
      <c r="AS8" s="30">
        <v>0.0</v>
      </c>
      <c r="AT8" s="30">
        <v>0.0</v>
      </c>
      <c r="AU8" s="31">
        <v>10.0</v>
      </c>
      <c r="AV8" s="24">
        <f t="shared" si="10"/>
        <v>290</v>
      </c>
      <c r="AW8" s="29">
        <f t="shared" si="11"/>
        <v>10</v>
      </c>
      <c r="AX8" s="30">
        <v>250.0</v>
      </c>
      <c r="AY8" s="31">
        <v>30.0</v>
      </c>
      <c r="AZ8" s="24">
        <f t="shared" si="12"/>
        <v>290</v>
      </c>
      <c r="BA8" s="30">
        <v>98.0</v>
      </c>
      <c r="BB8" s="30">
        <v>40.0</v>
      </c>
      <c r="BC8" s="30">
        <v>4.0</v>
      </c>
      <c r="BD8" s="30">
        <v>0.0</v>
      </c>
      <c r="BE8" s="30">
        <v>13.0</v>
      </c>
      <c r="BF8" s="30">
        <v>29.0</v>
      </c>
      <c r="BG8" s="30">
        <v>46.0</v>
      </c>
      <c r="BH8" s="31">
        <v>60.0</v>
      </c>
      <c r="BI8" s="24">
        <f t="shared" si="13"/>
        <v>290</v>
      </c>
      <c r="BJ8" s="30">
        <v>28.0</v>
      </c>
      <c r="BK8" s="30">
        <v>31.0</v>
      </c>
      <c r="BL8" s="30">
        <v>12.0</v>
      </c>
      <c r="BM8" s="30">
        <v>35.0</v>
      </c>
      <c r="BN8" s="30">
        <v>95.0</v>
      </c>
      <c r="BO8" s="30">
        <v>0.0</v>
      </c>
      <c r="BP8" s="31">
        <v>89.0</v>
      </c>
      <c r="BQ8" s="24">
        <f t="shared" si="14"/>
        <v>290</v>
      </c>
      <c r="BR8" s="32">
        <v>58.0</v>
      </c>
      <c r="BS8" s="30">
        <v>9.0</v>
      </c>
      <c r="BT8" s="31">
        <v>219.0</v>
      </c>
      <c r="BU8" s="24">
        <f t="shared" si="15"/>
        <v>286</v>
      </c>
    </row>
    <row r="9" ht="21.0" customHeight="1">
      <c r="A9" s="24" t="s">
        <v>76</v>
      </c>
      <c r="B9" s="33">
        <v>161.0</v>
      </c>
      <c r="C9" s="30">
        <v>64.0</v>
      </c>
      <c r="D9" s="31">
        <v>19.0</v>
      </c>
      <c r="E9" s="28">
        <f t="shared" si="1"/>
        <v>244</v>
      </c>
      <c r="F9" s="30">
        <v>36.0</v>
      </c>
      <c r="G9" s="30">
        <v>27.0</v>
      </c>
      <c r="H9" s="30">
        <v>33.0</v>
      </c>
      <c r="I9" s="30">
        <v>39.0</v>
      </c>
      <c r="J9" s="30">
        <v>34.0</v>
      </c>
      <c r="K9" s="30">
        <v>37.0</v>
      </c>
      <c r="L9" s="31">
        <v>38.0</v>
      </c>
      <c r="M9" s="24">
        <f t="shared" si="16"/>
        <v>244</v>
      </c>
      <c r="N9" s="30">
        <v>165.0</v>
      </c>
      <c r="O9" s="31">
        <v>79.0</v>
      </c>
      <c r="P9" s="24">
        <f t="shared" si="3"/>
        <v>244</v>
      </c>
      <c r="Q9" s="30">
        <v>134.0</v>
      </c>
      <c r="R9" s="31">
        <v>110.0</v>
      </c>
      <c r="S9" s="24">
        <f t="shared" si="4"/>
        <v>244</v>
      </c>
      <c r="T9" s="30">
        <v>119.0</v>
      </c>
      <c r="U9" s="30">
        <v>48.0</v>
      </c>
      <c r="V9" s="30">
        <v>1.0</v>
      </c>
      <c r="W9" s="30">
        <v>29.0</v>
      </c>
      <c r="X9" s="30">
        <v>26.0</v>
      </c>
      <c r="Y9" s="30">
        <v>2.0</v>
      </c>
      <c r="Z9" s="31">
        <v>28.0</v>
      </c>
      <c r="AA9" s="24">
        <f t="shared" si="5"/>
        <v>253</v>
      </c>
      <c r="AB9" s="30">
        <v>67.0</v>
      </c>
      <c r="AC9" s="30">
        <v>51.0</v>
      </c>
      <c r="AD9" s="30">
        <v>55.0</v>
      </c>
      <c r="AE9" s="30">
        <v>47.0</v>
      </c>
      <c r="AF9" s="30">
        <v>30.0</v>
      </c>
      <c r="AG9" s="24">
        <f t="shared" si="6"/>
        <v>250</v>
      </c>
      <c r="AH9" s="30">
        <v>136.0</v>
      </c>
      <c r="AI9" s="30">
        <v>114.0</v>
      </c>
      <c r="AJ9" s="24">
        <f t="shared" si="7"/>
        <v>250</v>
      </c>
      <c r="AK9" s="30">
        <v>164.0</v>
      </c>
      <c r="AL9" s="30">
        <v>86.0</v>
      </c>
      <c r="AM9" s="24">
        <f t="shared" si="8"/>
        <v>250</v>
      </c>
      <c r="AN9" s="30">
        <v>222.0</v>
      </c>
      <c r="AO9" s="31">
        <v>28.0</v>
      </c>
      <c r="AP9" s="24">
        <f t="shared" si="9"/>
        <v>250</v>
      </c>
      <c r="AQ9" s="30">
        <v>144.0</v>
      </c>
      <c r="AR9" s="30">
        <v>32.0</v>
      </c>
      <c r="AS9" s="30">
        <v>0.0</v>
      </c>
      <c r="AT9" s="30">
        <v>0.0</v>
      </c>
      <c r="AU9" s="31">
        <v>74.0</v>
      </c>
      <c r="AV9" s="24">
        <f t="shared" si="10"/>
        <v>250</v>
      </c>
      <c r="AW9" s="29">
        <f t="shared" si="11"/>
        <v>74</v>
      </c>
      <c r="AX9" s="30">
        <v>124.0</v>
      </c>
      <c r="AY9" s="31">
        <v>52.0</v>
      </c>
      <c r="AZ9" s="24">
        <f t="shared" si="12"/>
        <v>250</v>
      </c>
      <c r="BA9" s="30">
        <v>92.0</v>
      </c>
      <c r="BB9" s="30">
        <v>28.0</v>
      </c>
      <c r="BC9" s="30">
        <v>4.0</v>
      </c>
      <c r="BD9" s="30">
        <v>0.0</v>
      </c>
      <c r="BE9" s="30">
        <v>7.0</v>
      </c>
      <c r="BF9" s="30">
        <v>23.0</v>
      </c>
      <c r="BG9" s="30">
        <v>36.0</v>
      </c>
      <c r="BH9" s="31">
        <v>54.0</v>
      </c>
      <c r="BI9" s="24">
        <f t="shared" si="13"/>
        <v>244</v>
      </c>
      <c r="BJ9" s="30">
        <v>5.0</v>
      </c>
      <c r="BK9" s="30">
        <v>4.0</v>
      </c>
      <c r="BL9" s="30">
        <v>39.0</v>
      </c>
      <c r="BM9" s="30">
        <v>2.0</v>
      </c>
      <c r="BN9" s="30">
        <v>62.0</v>
      </c>
      <c r="BO9" s="30">
        <v>0.0</v>
      </c>
      <c r="BP9" s="31">
        <v>132.0</v>
      </c>
      <c r="BQ9" s="24">
        <f t="shared" si="14"/>
        <v>244</v>
      </c>
      <c r="BR9" s="32">
        <v>73.0</v>
      </c>
      <c r="BS9" s="30">
        <v>22.0</v>
      </c>
      <c r="BT9" s="31">
        <v>200.0</v>
      </c>
      <c r="BU9" s="24">
        <f t="shared" si="15"/>
        <v>295</v>
      </c>
    </row>
    <row r="10" ht="21.0" customHeight="1">
      <c r="A10" s="24" t="s">
        <v>77</v>
      </c>
      <c r="B10" s="33">
        <v>277.0</v>
      </c>
      <c r="C10" s="30">
        <v>82.0</v>
      </c>
      <c r="D10" s="31">
        <v>13.0</v>
      </c>
      <c r="E10" s="28">
        <f t="shared" si="1"/>
        <v>372</v>
      </c>
      <c r="F10" s="30">
        <v>56.0</v>
      </c>
      <c r="G10" s="30">
        <v>45.0</v>
      </c>
      <c r="H10" s="30">
        <v>51.0</v>
      </c>
      <c r="I10" s="30">
        <v>55.0</v>
      </c>
      <c r="J10" s="30">
        <v>52.0</v>
      </c>
      <c r="K10" s="30">
        <v>55.0</v>
      </c>
      <c r="L10" s="31">
        <v>58.0</v>
      </c>
      <c r="M10" s="24">
        <f t="shared" si="16"/>
        <v>372</v>
      </c>
      <c r="N10" s="30">
        <v>158.0</v>
      </c>
      <c r="O10" s="31">
        <v>214.0</v>
      </c>
      <c r="P10" s="24">
        <f t="shared" si="3"/>
        <v>372</v>
      </c>
      <c r="Q10" s="30">
        <v>161.0</v>
      </c>
      <c r="R10" s="31">
        <v>211.0</v>
      </c>
      <c r="S10" s="24">
        <f t="shared" si="4"/>
        <v>372</v>
      </c>
      <c r="T10" s="30">
        <v>262.0</v>
      </c>
      <c r="U10" s="30">
        <v>54.0</v>
      </c>
      <c r="V10" s="30">
        <v>1.0</v>
      </c>
      <c r="W10" s="30">
        <v>53.0</v>
      </c>
      <c r="X10" s="30">
        <v>23.0</v>
      </c>
      <c r="Y10" s="30">
        <v>3.0</v>
      </c>
      <c r="Z10" s="31">
        <v>31.0</v>
      </c>
      <c r="AA10" s="24">
        <f t="shared" si="5"/>
        <v>427</v>
      </c>
      <c r="AB10" s="30">
        <v>74.0</v>
      </c>
      <c r="AC10" s="30">
        <v>153.0</v>
      </c>
      <c r="AD10" s="30">
        <v>116.0</v>
      </c>
      <c r="AE10" s="30">
        <v>43.0</v>
      </c>
      <c r="AF10" s="30">
        <v>37.0</v>
      </c>
      <c r="AG10" s="24">
        <f t="shared" si="6"/>
        <v>423</v>
      </c>
      <c r="AH10" s="30">
        <v>263.0</v>
      </c>
      <c r="AI10" s="30">
        <v>160.0</v>
      </c>
      <c r="AJ10" s="24">
        <f t="shared" si="7"/>
        <v>423</v>
      </c>
      <c r="AK10" s="30">
        <v>269.0</v>
      </c>
      <c r="AL10" s="30">
        <v>154.0</v>
      </c>
      <c r="AM10" s="24">
        <f t="shared" si="8"/>
        <v>423</v>
      </c>
      <c r="AN10" s="30">
        <v>388.0</v>
      </c>
      <c r="AO10" s="31">
        <v>35.0</v>
      </c>
      <c r="AP10" s="24">
        <f t="shared" si="9"/>
        <v>423</v>
      </c>
      <c r="AQ10" s="30">
        <v>214.0</v>
      </c>
      <c r="AR10" s="30">
        <v>66.0</v>
      </c>
      <c r="AS10" s="30">
        <v>9.0</v>
      </c>
      <c r="AT10" s="30">
        <v>0.0</v>
      </c>
      <c r="AU10" s="31">
        <v>134.0</v>
      </c>
      <c r="AV10" s="24">
        <f t="shared" si="10"/>
        <v>423</v>
      </c>
      <c r="AW10" s="29">
        <f t="shared" si="11"/>
        <v>134</v>
      </c>
      <c r="AX10" s="30">
        <v>244.0</v>
      </c>
      <c r="AY10" s="31">
        <v>45.0</v>
      </c>
      <c r="AZ10" s="24">
        <f t="shared" si="12"/>
        <v>423</v>
      </c>
      <c r="BA10" s="30">
        <v>145.0</v>
      </c>
      <c r="BB10" s="30">
        <v>33.0</v>
      </c>
      <c r="BC10" s="30">
        <v>7.0</v>
      </c>
      <c r="BD10" s="30">
        <v>3.0</v>
      </c>
      <c r="BE10" s="30">
        <v>6.0</v>
      </c>
      <c r="BF10" s="30">
        <v>49.0</v>
      </c>
      <c r="BG10" s="30">
        <v>43.0</v>
      </c>
      <c r="BH10" s="31">
        <v>86.0</v>
      </c>
      <c r="BI10" s="24">
        <f t="shared" si="13"/>
        <v>372</v>
      </c>
      <c r="BJ10" s="30">
        <v>28.0</v>
      </c>
      <c r="BK10" s="30">
        <v>41.0</v>
      </c>
      <c r="BL10" s="30">
        <v>37.0</v>
      </c>
      <c r="BM10" s="30">
        <v>8.0</v>
      </c>
      <c r="BN10" s="30">
        <v>95.0</v>
      </c>
      <c r="BO10" s="30">
        <v>0.0</v>
      </c>
      <c r="BP10" s="31">
        <v>163.0</v>
      </c>
      <c r="BQ10" s="24">
        <f t="shared" si="14"/>
        <v>372</v>
      </c>
      <c r="BR10" s="32">
        <v>94.0</v>
      </c>
      <c r="BS10" s="30">
        <v>16.0</v>
      </c>
      <c r="BT10" s="31">
        <v>247.0</v>
      </c>
      <c r="BU10" s="24">
        <f t="shared" si="15"/>
        <v>357</v>
      </c>
    </row>
    <row r="11" ht="21.0" customHeight="1">
      <c r="A11" s="24" t="s">
        <v>78</v>
      </c>
      <c r="B11" s="33">
        <v>203.0</v>
      </c>
      <c r="C11" s="30">
        <v>63.0</v>
      </c>
      <c r="D11" s="31">
        <v>17.0</v>
      </c>
      <c r="E11" s="28">
        <f t="shared" si="1"/>
        <v>283</v>
      </c>
      <c r="F11" s="30">
        <v>40.0</v>
      </c>
      <c r="G11" s="30">
        <v>39.0</v>
      </c>
      <c r="H11" s="30">
        <v>53.0</v>
      </c>
      <c r="I11" s="30">
        <v>47.0</v>
      </c>
      <c r="J11" s="30">
        <v>28.0</v>
      </c>
      <c r="K11" s="30">
        <v>35.0</v>
      </c>
      <c r="L11" s="31">
        <v>41.0</v>
      </c>
      <c r="M11" s="24">
        <f t="shared" si="16"/>
        <v>283</v>
      </c>
      <c r="N11" s="30">
        <v>138.0</v>
      </c>
      <c r="O11" s="31">
        <v>145.0</v>
      </c>
      <c r="P11" s="24">
        <f t="shared" si="3"/>
        <v>283</v>
      </c>
      <c r="Q11" s="30">
        <v>80.0</v>
      </c>
      <c r="R11" s="31">
        <v>203.0</v>
      </c>
      <c r="S11" s="24">
        <f t="shared" si="4"/>
        <v>283</v>
      </c>
      <c r="T11" s="30">
        <v>204.0</v>
      </c>
      <c r="U11" s="30">
        <v>35.0</v>
      </c>
      <c r="V11" s="30">
        <v>2.0</v>
      </c>
      <c r="W11" s="30">
        <v>42.0</v>
      </c>
      <c r="X11" s="30">
        <v>34.0</v>
      </c>
      <c r="Y11" s="30">
        <v>4.0</v>
      </c>
      <c r="Z11" s="31">
        <v>27.0</v>
      </c>
      <c r="AA11" s="24">
        <f t="shared" si="5"/>
        <v>348</v>
      </c>
      <c r="AB11" s="30">
        <v>69.0</v>
      </c>
      <c r="AC11" s="30">
        <v>114.0</v>
      </c>
      <c r="AD11" s="30">
        <v>92.0</v>
      </c>
      <c r="AE11" s="30">
        <v>24.0</v>
      </c>
      <c r="AF11" s="30">
        <v>35.0</v>
      </c>
      <c r="AG11" s="24">
        <f t="shared" si="6"/>
        <v>334</v>
      </c>
      <c r="AH11" s="30">
        <v>204.0</v>
      </c>
      <c r="AI11" s="30">
        <v>130.0</v>
      </c>
      <c r="AJ11" s="24">
        <f t="shared" si="7"/>
        <v>334</v>
      </c>
      <c r="AK11" s="30">
        <v>202.0</v>
      </c>
      <c r="AL11" s="30">
        <v>132.0</v>
      </c>
      <c r="AM11" s="24">
        <f t="shared" si="8"/>
        <v>334</v>
      </c>
      <c r="AN11" s="30">
        <v>305.0</v>
      </c>
      <c r="AO11" s="31">
        <v>29.0</v>
      </c>
      <c r="AP11" s="24">
        <f t="shared" si="9"/>
        <v>334</v>
      </c>
      <c r="AQ11" s="30">
        <v>178.0</v>
      </c>
      <c r="AR11" s="30">
        <v>75.0</v>
      </c>
      <c r="AS11" s="30">
        <v>6.0</v>
      </c>
      <c r="AT11" s="30">
        <v>0.0</v>
      </c>
      <c r="AU11" s="31">
        <v>75.0</v>
      </c>
      <c r="AV11" s="24">
        <f t="shared" si="10"/>
        <v>334</v>
      </c>
      <c r="AW11" s="29">
        <f t="shared" si="11"/>
        <v>75</v>
      </c>
      <c r="AX11" s="30">
        <v>224.0</v>
      </c>
      <c r="AY11" s="31">
        <v>35.0</v>
      </c>
      <c r="AZ11" s="24">
        <f t="shared" si="12"/>
        <v>334</v>
      </c>
      <c r="BA11" s="30">
        <v>125.0</v>
      </c>
      <c r="BB11" s="30">
        <v>20.0</v>
      </c>
      <c r="BC11" s="30">
        <v>5.0</v>
      </c>
      <c r="BD11" s="30">
        <v>1.0</v>
      </c>
      <c r="BE11" s="30">
        <v>9.0</v>
      </c>
      <c r="BF11" s="30">
        <v>29.0</v>
      </c>
      <c r="BG11" s="30">
        <v>21.0</v>
      </c>
      <c r="BH11" s="31">
        <v>73.0</v>
      </c>
      <c r="BI11" s="24">
        <f t="shared" si="13"/>
        <v>283</v>
      </c>
      <c r="BJ11" s="30">
        <v>18.0</v>
      </c>
      <c r="BK11" s="30">
        <v>21.0</v>
      </c>
      <c r="BL11" s="30">
        <v>40.0</v>
      </c>
      <c r="BM11" s="30">
        <v>6.0</v>
      </c>
      <c r="BN11" s="30">
        <v>75.0</v>
      </c>
      <c r="BO11" s="30">
        <v>0.0</v>
      </c>
      <c r="BP11" s="31">
        <v>123.0</v>
      </c>
      <c r="BQ11" s="24">
        <f t="shared" si="14"/>
        <v>283</v>
      </c>
      <c r="BR11" s="32">
        <v>63.0</v>
      </c>
      <c r="BS11" s="30">
        <v>17.0</v>
      </c>
      <c r="BT11" s="31">
        <v>262.0</v>
      </c>
      <c r="BU11" s="24">
        <f t="shared" si="15"/>
        <v>342</v>
      </c>
    </row>
    <row r="12" ht="21.0" customHeight="1">
      <c r="A12" s="24" t="s">
        <v>79</v>
      </c>
      <c r="B12" s="33">
        <v>185.0</v>
      </c>
      <c r="C12" s="30">
        <v>75.0</v>
      </c>
      <c r="D12" s="31">
        <v>9.0</v>
      </c>
      <c r="E12" s="28">
        <f t="shared" si="1"/>
        <v>269</v>
      </c>
      <c r="F12" s="30">
        <v>25.0</v>
      </c>
      <c r="G12" s="30">
        <v>39.0</v>
      </c>
      <c r="H12" s="30">
        <v>46.0</v>
      </c>
      <c r="I12" s="30">
        <v>46.0</v>
      </c>
      <c r="J12" s="30">
        <v>35.0</v>
      </c>
      <c r="K12" s="30">
        <v>46.0</v>
      </c>
      <c r="L12" s="31">
        <v>32.0</v>
      </c>
      <c r="M12" s="24">
        <f t="shared" si="16"/>
        <v>269</v>
      </c>
      <c r="N12" s="30">
        <v>122.0</v>
      </c>
      <c r="O12" s="31">
        <v>147.0</v>
      </c>
      <c r="P12" s="24">
        <f t="shared" si="3"/>
        <v>269</v>
      </c>
      <c r="Q12" s="30">
        <v>106.0</v>
      </c>
      <c r="R12" s="31">
        <v>163.0</v>
      </c>
      <c r="S12" s="24">
        <f t="shared" si="4"/>
        <v>269</v>
      </c>
      <c r="T12" s="30">
        <v>197.0</v>
      </c>
      <c r="U12" s="30">
        <v>29.0</v>
      </c>
      <c r="V12" s="30">
        <v>1.0</v>
      </c>
      <c r="W12" s="30">
        <v>34.0</v>
      </c>
      <c r="X12" s="30">
        <v>31.0</v>
      </c>
      <c r="Y12" s="30">
        <v>2.0</v>
      </c>
      <c r="Z12" s="31">
        <v>22.0</v>
      </c>
      <c r="AA12" s="24">
        <f t="shared" si="5"/>
        <v>316</v>
      </c>
      <c r="AB12" s="30">
        <v>64.0</v>
      </c>
      <c r="AC12" s="30">
        <v>109.0</v>
      </c>
      <c r="AD12" s="30">
        <v>86.0</v>
      </c>
      <c r="AE12" s="30">
        <v>21.0</v>
      </c>
      <c r="AF12" s="30">
        <v>31.0</v>
      </c>
      <c r="AG12" s="24">
        <f t="shared" si="6"/>
        <v>311</v>
      </c>
      <c r="AH12" s="30">
        <v>209.0</v>
      </c>
      <c r="AI12" s="30">
        <v>102.0</v>
      </c>
      <c r="AJ12" s="24">
        <f t="shared" si="7"/>
        <v>311</v>
      </c>
      <c r="AK12" s="30">
        <v>197.0</v>
      </c>
      <c r="AL12" s="30">
        <v>114.0</v>
      </c>
      <c r="AM12" s="24">
        <f t="shared" si="8"/>
        <v>311</v>
      </c>
      <c r="AN12" s="30">
        <v>278.0</v>
      </c>
      <c r="AO12" s="31">
        <v>33.0</v>
      </c>
      <c r="AP12" s="24">
        <f t="shared" si="9"/>
        <v>311</v>
      </c>
      <c r="AQ12" s="30">
        <v>163.0</v>
      </c>
      <c r="AR12" s="30">
        <v>64.0</v>
      </c>
      <c r="AS12" s="30">
        <v>17.0</v>
      </c>
      <c r="AT12" s="30">
        <v>0.0</v>
      </c>
      <c r="AU12" s="31">
        <v>67.0</v>
      </c>
      <c r="AV12" s="24">
        <f t="shared" si="10"/>
        <v>311</v>
      </c>
      <c r="AW12" s="29">
        <f t="shared" si="11"/>
        <v>67</v>
      </c>
      <c r="AX12" s="30">
        <v>213.0</v>
      </c>
      <c r="AY12" s="31">
        <v>31.0</v>
      </c>
      <c r="AZ12" s="24">
        <f t="shared" si="12"/>
        <v>311</v>
      </c>
      <c r="BA12" s="30">
        <v>117.0</v>
      </c>
      <c r="BB12" s="30">
        <v>18.0</v>
      </c>
      <c r="BC12" s="30">
        <v>4.0</v>
      </c>
      <c r="BD12" s="30">
        <v>2.0</v>
      </c>
      <c r="BE12" s="30">
        <v>7.0</v>
      </c>
      <c r="BF12" s="30">
        <v>29.0</v>
      </c>
      <c r="BG12" s="30">
        <v>19.0</v>
      </c>
      <c r="BH12" s="31">
        <v>73.0</v>
      </c>
      <c r="BI12" s="24">
        <f t="shared" si="13"/>
        <v>269</v>
      </c>
      <c r="BJ12" s="30">
        <v>14.0</v>
      </c>
      <c r="BK12" s="30">
        <v>19.0</v>
      </c>
      <c r="BL12" s="30">
        <v>37.0</v>
      </c>
      <c r="BM12" s="30">
        <v>7.0</v>
      </c>
      <c r="BN12" s="30">
        <v>72.0</v>
      </c>
      <c r="BO12" s="30">
        <v>0.0</v>
      </c>
      <c r="BP12" s="31">
        <v>120.0</v>
      </c>
      <c r="BQ12" s="24">
        <f t="shared" si="14"/>
        <v>269</v>
      </c>
      <c r="BR12" s="32">
        <v>75.0</v>
      </c>
      <c r="BS12" s="30">
        <v>9.0</v>
      </c>
      <c r="BT12" s="31">
        <v>237.0</v>
      </c>
      <c r="BU12" s="24">
        <f t="shared" si="15"/>
        <v>321</v>
      </c>
    </row>
    <row r="13" ht="21.0" customHeight="1">
      <c r="A13" s="24" t="s">
        <v>80</v>
      </c>
      <c r="B13" s="35">
        <v>210.0</v>
      </c>
      <c r="C13" s="36">
        <v>86.0</v>
      </c>
      <c r="D13" s="37">
        <v>19.0</v>
      </c>
      <c r="E13" s="28">
        <f t="shared" si="1"/>
        <v>315</v>
      </c>
      <c r="F13" s="36">
        <v>29.0</v>
      </c>
      <c r="G13" s="36">
        <v>46.0</v>
      </c>
      <c r="H13" s="36">
        <v>53.0</v>
      </c>
      <c r="I13" s="36">
        <v>55.0</v>
      </c>
      <c r="J13" s="36">
        <v>46.0</v>
      </c>
      <c r="K13" s="36">
        <v>42.0</v>
      </c>
      <c r="L13" s="37">
        <v>44.0</v>
      </c>
      <c r="M13" s="24">
        <f t="shared" si="16"/>
        <v>315</v>
      </c>
      <c r="N13" s="36">
        <v>132.0</v>
      </c>
      <c r="O13" s="37">
        <v>183.0</v>
      </c>
      <c r="P13" s="24">
        <f t="shared" si="3"/>
        <v>315</v>
      </c>
      <c r="Q13" s="30">
        <v>117.0</v>
      </c>
      <c r="R13" s="31">
        <v>198.0</v>
      </c>
      <c r="S13" s="24">
        <f t="shared" si="4"/>
        <v>315</v>
      </c>
      <c r="T13" s="30">
        <v>213.0</v>
      </c>
      <c r="U13" s="30">
        <v>34.0</v>
      </c>
      <c r="V13" s="30">
        <v>1.0</v>
      </c>
      <c r="W13" s="30">
        <v>48.0</v>
      </c>
      <c r="X13" s="30">
        <v>38.0</v>
      </c>
      <c r="Y13" s="30">
        <v>2.0</v>
      </c>
      <c r="Z13" s="31">
        <v>28.0</v>
      </c>
      <c r="AA13" s="24">
        <f t="shared" si="5"/>
        <v>364</v>
      </c>
      <c r="AB13" s="30">
        <v>68.0</v>
      </c>
      <c r="AC13" s="30">
        <v>111.0</v>
      </c>
      <c r="AD13" s="30">
        <v>91.0</v>
      </c>
      <c r="AE13" s="30">
        <v>24.0</v>
      </c>
      <c r="AF13" s="30">
        <v>37.0</v>
      </c>
      <c r="AG13" s="24">
        <f t="shared" si="6"/>
        <v>331</v>
      </c>
      <c r="AH13" s="30">
        <v>217.0</v>
      </c>
      <c r="AI13" s="30">
        <v>114.0</v>
      </c>
      <c r="AJ13" s="24">
        <f t="shared" si="7"/>
        <v>331</v>
      </c>
      <c r="AK13" s="30">
        <v>208.0</v>
      </c>
      <c r="AL13" s="30">
        <v>123.0</v>
      </c>
      <c r="AM13" s="24">
        <f t="shared" si="8"/>
        <v>331</v>
      </c>
      <c r="AN13" s="30">
        <v>291.0</v>
      </c>
      <c r="AO13" s="31">
        <v>40.0</v>
      </c>
      <c r="AP13" s="24">
        <f t="shared" si="9"/>
        <v>331</v>
      </c>
      <c r="AQ13" s="30">
        <v>191.0</v>
      </c>
      <c r="AR13" s="30">
        <v>66.0</v>
      </c>
      <c r="AS13" s="30">
        <v>6.0</v>
      </c>
      <c r="AT13" s="30">
        <v>0.0</v>
      </c>
      <c r="AU13" s="31">
        <v>68.0</v>
      </c>
      <c r="AV13" s="24">
        <f t="shared" si="10"/>
        <v>331</v>
      </c>
      <c r="AW13" s="29">
        <f t="shared" si="11"/>
        <v>68</v>
      </c>
      <c r="AX13" s="30">
        <v>231.0</v>
      </c>
      <c r="AY13" s="31">
        <v>32.0</v>
      </c>
      <c r="AZ13" s="24">
        <f t="shared" si="12"/>
        <v>331</v>
      </c>
      <c r="BA13" s="30">
        <v>131.0</v>
      </c>
      <c r="BB13" s="30">
        <v>24.0</v>
      </c>
      <c r="BC13" s="30">
        <v>6.0</v>
      </c>
      <c r="BD13" s="30">
        <v>3.0</v>
      </c>
      <c r="BE13" s="30">
        <v>8.0</v>
      </c>
      <c r="BF13" s="30">
        <v>38.0</v>
      </c>
      <c r="BG13" s="30">
        <v>29.0</v>
      </c>
      <c r="BH13" s="31">
        <v>76.0</v>
      </c>
      <c r="BI13" s="24">
        <f t="shared" si="13"/>
        <v>315</v>
      </c>
      <c r="BJ13" s="30">
        <v>19.0</v>
      </c>
      <c r="BK13" s="30">
        <v>21.0</v>
      </c>
      <c r="BL13" s="30">
        <v>42.0</v>
      </c>
      <c r="BM13" s="30">
        <v>11.0</v>
      </c>
      <c r="BN13" s="30">
        <v>79.0</v>
      </c>
      <c r="BO13" s="30">
        <v>0.0</v>
      </c>
      <c r="BP13" s="31">
        <v>143.0</v>
      </c>
      <c r="BQ13" s="24">
        <f t="shared" si="14"/>
        <v>315</v>
      </c>
      <c r="BR13" s="39">
        <v>86.0</v>
      </c>
      <c r="BS13" s="36">
        <v>19.0</v>
      </c>
      <c r="BT13" s="37">
        <v>337.0</v>
      </c>
      <c r="BU13" s="38">
        <f t="shared" si="15"/>
        <v>442</v>
      </c>
    </row>
    <row r="14" ht="21.0" customHeight="1">
      <c r="A14" s="24" t="s">
        <v>47</v>
      </c>
      <c r="B14" s="40">
        <f t="shared" ref="B14:BU14" si="17">SUM(B2:B13)</f>
        <v>2381</v>
      </c>
      <c r="C14" s="41">
        <f t="shared" si="17"/>
        <v>685</v>
      </c>
      <c r="D14" s="41">
        <f t="shared" si="17"/>
        <v>169</v>
      </c>
      <c r="E14" s="42">
        <f t="shared" si="17"/>
        <v>3235</v>
      </c>
      <c r="F14" s="41">
        <f t="shared" si="17"/>
        <v>435</v>
      </c>
      <c r="G14" s="41">
        <f t="shared" si="17"/>
        <v>430</v>
      </c>
      <c r="H14" s="41">
        <f t="shared" si="17"/>
        <v>490</v>
      </c>
      <c r="I14" s="41">
        <f t="shared" si="17"/>
        <v>484</v>
      </c>
      <c r="J14" s="41">
        <f t="shared" si="17"/>
        <v>455</v>
      </c>
      <c r="K14" s="41">
        <f t="shared" si="17"/>
        <v>469</v>
      </c>
      <c r="L14" s="41">
        <f t="shared" si="17"/>
        <v>472</v>
      </c>
      <c r="M14" s="24">
        <f t="shared" si="17"/>
        <v>3235</v>
      </c>
      <c r="N14" s="41">
        <f t="shared" si="17"/>
        <v>1796</v>
      </c>
      <c r="O14" s="41">
        <f t="shared" si="17"/>
        <v>1439</v>
      </c>
      <c r="P14" s="24">
        <f t="shared" si="17"/>
        <v>3235</v>
      </c>
      <c r="Q14" s="41">
        <f t="shared" si="17"/>
        <v>1649</v>
      </c>
      <c r="R14" s="43">
        <f t="shared" si="17"/>
        <v>1586</v>
      </c>
      <c r="S14" s="24">
        <f t="shared" si="17"/>
        <v>3235</v>
      </c>
      <c r="T14" s="41">
        <f t="shared" si="17"/>
        <v>1910</v>
      </c>
      <c r="U14" s="41">
        <f t="shared" si="17"/>
        <v>645</v>
      </c>
      <c r="V14" s="41">
        <f t="shared" si="17"/>
        <v>80</v>
      </c>
      <c r="W14" s="41">
        <f t="shared" si="17"/>
        <v>404</v>
      </c>
      <c r="X14" s="41">
        <f t="shared" si="17"/>
        <v>400</v>
      </c>
      <c r="Y14" s="41">
        <f t="shared" si="17"/>
        <v>76</v>
      </c>
      <c r="Z14" s="41">
        <f t="shared" si="17"/>
        <v>309</v>
      </c>
      <c r="AA14" s="24">
        <f t="shared" si="17"/>
        <v>3824</v>
      </c>
      <c r="AB14" s="24">
        <f t="shared" si="17"/>
        <v>1156</v>
      </c>
      <c r="AC14" s="41">
        <f t="shared" si="17"/>
        <v>877</v>
      </c>
      <c r="AD14" s="41">
        <f t="shared" si="17"/>
        <v>804</v>
      </c>
      <c r="AE14" s="41">
        <f t="shared" si="17"/>
        <v>539</v>
      </c>
      <c r="AF14" s="41">
        <f t="shared" si="17"/>
        <v>381</v>
      </c>
      <c r="AG14" s="24">
        <f t="shared" si="17"/>
        <v>3757</v>
      </c>
      <c r="AH14" s="41">
        <f t="shared" si="17"/>
        <v>2206</v>
      </c>
      <c r="AI14" s="41">
        <f t="shared" si="17"/>
        <v>1551</v>
      </c>
      <c r="AJ14" s="24">
        <f t="shared" si="17"/>
        <v>3757</v>
      </c>
      <c r="AK14" s="41">
        <f t="shared" si="17"/>
        <v>2198</v>
      </c>
      <c r="AL14" s="41">
        <f t="shared" si="17"/>
        <v>1559</v>
      </c>
      <c r="AM14" s="24">
        <f t="shared" si="17"/>
        <v>3757</v>
      </c>
      <c r="AN14" s="41">
        <f t="shared" si="17"/>
        <v>3269</v>
      </c>
      <c r="AO14" s="43">
        <f t="shared" si="17"/>
        <v>488</v>
      </c>
      <c r="AP14" s="24">
        <f t="shared" si="17"/>
        <v>3757</v>
      </c>
      <c r="AQ14" s="41">
        <f t="shared" si="17"/>
        <v>1945</v>
      </c>
      <c r="AR14" s="41">
        <f t="shared" si="17"/>
        <v>500</v>
      </c>
      <c r="AS14" s="41">
        <f t="shared" si="17"/>
        <v>39</v>
      </c>
      <c r="AT14" s="41">
        <f t="shared" si="17"/>
        <v>1</v>
      </c>
      <c r="AU14" s="43">
        <f t="shared" si="17"/>
        <v>1272</v>
      </c>
      <c r="AV14" s="24">
        <f t="shared" si="17"/>
        <v>3757</v>
      </c>
      <c r="AW14" s="40">
        <f t="shared" si="17"/>
        <v>1272</v>
      </c>
      <c r="AX14" s="41">
        <f t="shared" si="17"/>
        <v>2226</v>
      </c>
      <c r="AY14" s="43">
        <f t="shared" si="17"/>
        <v>259</v>
      </c>
      <c r="AZ14" s="24">
        <f t="shared" si="17"/>
        <v>3757</v>
      </c>
      <c r="BA14" s="44">
        <f t="shared" si="17"/>
        <v>1492</v>
      </c>
      <c r="BB14" s="44">
        <f t="shared" si="17"/>
        <v>395</v>
      </c>
      <c r="BC14" s="44">
        <f t="shared" si="17"/>
        <v>61</v>
      </c>
      <c r="BD14" s="44">
        <f t="shared" si="17"/>
        <v>22</v>
      </c>
      <c r="BE14" s="44">
        <f t="shared" si="17"/>
        <v>130</v>
      </c>
      <c r="BF14" s="44">
        <f t="shared" si="17"/>
        <v>321</v>
      </c>
      <c r="BG14" s="44">
        <f t="shared" si="17"/>
        <v>271</v>
      </c>
      <c r="BH14" s="44">
        <f t="shared" si="17"/>
        <v>543</v>
      </c>
      <c r="BI14" s="24">
        <f t="shared" si="17"/>
        <v>3235</v>
      </c>
      <c r="BJ14" s="24">
        <f t="shared" si="17"/>
        <v>250</v>
      </c>
      <c r="BK14" s="24">
        <f t="shared" si="17"/>
        <v>326</v>
      </c>
      <c r="BL14" s="24">
        <f t="shared" si="17"/>
        <v>377</v>
      </c>
      <c r="BM14" s="24">
        <f t="shared" si="17"/>
        <v>268</v>
      </c>
      <c r="BN14" s="24">
        <f t="shared" si="17"/>
        <v>759</v>
      </c>
      <c r="BO14" s="24">
        <f t="shared" si="17"/>
        <v>0</v>
      </c>
      <c r="BP14" s="24">
        <f t="shared" si="17"/>
        <v>1255</v>
      </c>
      <c r="BQ14" s="24">
        <f t="shared" si="17"/>
        <v>3235</v>
      </c>
      <c r="BR14" s="42">
        <f t="shared" si="17"/>
        <v>706</v>
      </c>
      <c r="BS14" s="24">
        <f t="shared" si="17"/>
        <v>173</v>
      </c>
      <c r="BT14" s="24">
        <f t="shared" si="17"/>
        <v>2929</v>
      </c>
      <c r="BU14" s="24">
        <f t="shared" si="17"/>
        <v>3808</v>
      </c>
    </row>
    <row r="15" ht="12.75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3" width="8.0"/>
  </cols>
  <sheetData>
    <row r="1" ht="124.5" customHeight="1">
      <c r="A1" s="2" t="s">
        <v>1</v>
      </c>
      <c r="B1" s="3" t="s">
        <v>2</v>
      </c>
      <c r="C1" s="3" t="s">
        <v>3</v>
      </c>
      <c r="D1" s="4" t="s">
        <v>4</v>
      </c>
      <c r="E1" s="5" t="s">
        <v>5</v>
      </c>
      <c r="F1" s="2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6" t="s">
        <v>13</v>
      </c>
      <c r="N1" s="2" t="s">
        <v>14</v>
      </c>
      <c r="O1" s="3" t="s">
        <v>15</v>
      </c>
      <c r="P1" s="6" t="s">
        <v>16</v>
      </c>
      <c r="Q1" s="2" t="s">
        <v>17</v>
      </c>
      <c r="R1" s="3" t="s">
        <v>18</v>
      </c>
      <c r="S1" s="6" t="s">
        <v>19</v>
      </c>
      <c r="T1" s="2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6" t="s">
        <v>27</v>
      </c>
      <c r="AB1" s="2">
        <v>-18.0</v>
      </c>
      <c r="AC1" s="3" t="s">
        <v>28</v>
      </c>
      <c r="AD1" s="3" t="s">
        <v>29</v>
      </c>
      <c r="AE1" s="3" t="s">
        <v>30</v>
      </c>
      <c r="AF1" s="3" t="s">
        <v>31</v>
      </c>
      <c r="AG1" s="6" t="s">
        <v>32</v>
      </c>
      <c r="AH1" s="2" t="s">
        <v>33</v>
      </c>
      <c r="AI1" s="3" t="s">
        <v>34</v>
      </c>
      <c r="AJ1" s="6" t="s">
        <v>35</v>
      </c>
      <c r="AK1" s="2" t="s">
        <v>36</v>
      </c>
      <c r="AL1" s="3" t="s">
        <v>37</v>
      </c>
      <c r="AM1" s="6" t="s">
        <v>38</v>
      </c>
      <c r="AN1" s="2" t="s">
        <v>39</v>
      </c>
      <c r="AO1" s="3" t="s">
        <v>40</v>
      </c>
      <c r="AP1" s="6" t="s">
        <v>41</v>
      </c>
      <c r="AQ1" s="2" t="s">
        <v>42</v>
      </c>
      <c r="AR1" s="3" t="s">
        <v>43</v>
      </c>
      <c r="AS1" s="3" t="s">
        <v>44</v>
      </c>
      <c r="AT1" s="3" t="s">
        <v>45</v>
      </c>
      <c r="AU1" s="7" t="s">
        <v>46</v>
      </c>
      <c r="AV1" s="8" t="s">
        <v>47</v>
      </c>
      <c r="AW1" s="9" t="s">
        <v>46</v>
      </c>
      <c r="AX1" s="3" t="s">
        <v>48</v>
      </c>
      <c r="AY1" s="3" t="s">
        <v>49</v>
      </c>
      <c r="AZ1" s="10" t="s">
        <v>47</v>
      </c>
      <c r="BA1" s="11" t="s">
        <v>50</v>
      </c>
      <c r="BB1" s="12" t="s">
        <v>51</v>
      </c>
      <c r="BC1" s="12" t="s">
        <v>52</v>
      </c>
      <c r="BD1" s="12" t="s">
        <v>53</v>
      </c>
      <c r="BE1" s="13" t="s">
        <v>54</v>
      </c>
      <c r="BF1" s="14" t="s">
        <v>55</v>
      </c>
      <c r="BG1" s="14" t="s">
        <v>56</v>
      </c>
      <c r="BH1" s="15" t="s">
        <v>57</v>
      </c>
      <c r="BI1" s="16" t="s">
        <v>47</v>
      </c>
      <c r="BJ1" s="16" t="s">
        <v>58</v>
      </c>
      <c r="BK1" s="17" t="s">
        <v>59</v>
      </c>
      <c r="BL1" s="18" t="s">
        <v>60</v>
      </c>
      <c r="BM1" s="18" t="s">
        <v>61</v>
      </c>
      <c r="BN1" s="18" t="s">
        <v>62</v>
      </c>
      <c r="BO1" s="18" t="s">
        <v>63</v>
      </c>
      <c r="BP1" s="18" t="s">
        <v>26</v>
      </c>
      <c r="BQ1" s="19" t="s">
        <v>64</v>
      </c>
      <c r="BR1" s="20" t="s">
        <v>65</v>
      </c>
      <c r="BS1" s="21" t="s">
        <v>66</v>
      </c>
      <c r="BT1" s="18" t="s">
        <v>67</v>
      </c>
      <c r="BU1" s="22" t="s">
        <v>68</v>
      </c>
    </row>
    <row r="2" ht="21.0" customHeight="1">
      <c r="A2" s="24" t="s">
        <v>69</v>
      </c>
      <c r="B2" s="25">
        <v>1861.0</v>
      </c>
      <c r="C2" s="26">
        <v>119.0</v>
      </c>
      <c r="D2" s="27">
        <v>30.0</v>
      </c>
      <c r="E2" s="28">
        <f t="shared" ref="E2:E13" si="1">SUM(B2:D2)</f>
        <v>2010</v>
      </c>
      <c r="F2" s="26">
        <v>304.0</v>
      </c>
      <c r="G2" s="26">
        <v>279.0</v>
      </c>
      <c r="H2" s="26">
        <v>268.0</v>
      </c>
      <c r="I2" s="26">
        <v>273.0</v>
      </c>
      <c r="J2" s="26">
        <v>264.0</v>
      </c>
      <c r="K2" s="26">
        <v>294.0</v>
      </c>
      <c r="L2" s="27">
        <v>328.0</v>
      </c>
      <c r="M2" s="24">
        <f t="shared" ref="M2:M13" si="2">F2+G2+H2+I2+J2+K2+L2</f>
        <v>2010</v>
      </c>
      <c r="N2" s="26">
        <v>1106.0</v>
      </c>
      <c r="O2" s="27">
        <v>904.0</v>
      </c>
      <c r="P2" s="24">
        <f t="shared" ref="P2:P13" si="3">SUM(N2:O2)</f>
        <v>2010</v>
      </c>
      <c r="Q2" s="26">
        <v>1294.0</v>
      </c>
      <c r="R2" s="27">
        <v>716.0</v>
      </c>
      <c r="S2" s="24">
        <f t="shared" ref="S2:S13" si="4">SUM(Q2:R2)</f>
        <v>2010</v>
      </c>
      <c r="T2" s="26">
        <v>1231.0</v>
      </c>
      <c r="U2" s="26">
        <v>864.0</v>
      </c>
      <c r="V2" s="26">
        <v>7.0</v>
      </c>
      <c r="W2" s="26">
        <v>349.0</v>
      </c>
      <c r="X2" s="26">
        <v>675.0</v>
      </c>
      <c r="Y2" s="26">
        <v>2.0</v>
      </c>
      <c r="Z2" s="27">
        <v>126.0</v>
      </c>
      <c r="AA2" s="24">
        <f t="shared" ref="AA2:AA13" si="5">SUM(T2:Z2)</f>
        <v>3254</v>
      </c>
      <c r="AB2" s="26">
        <v>827.0</v>
      </c>
      <c r="AC2" s="26">
        <v>887.0</v>
      </c>
      <c r="AD2" s="26">
        <v>953.0</v>
      </c>
      <c r="AE2" s="26">
        <v>394.0</v>
      </c>
      <c r="AF2" s="26">
        <v>193.0</v>
      </c>
      <c r="AG2" s="24">
        <f t="shared" ref="AG2:AG13" si="6">SUM(AB2:AF2)</f>
        <v>3254</v>
      </c>
      <c r="AH2" s="26">
        <v>1967.0</v>
      </c>
      <c r="AI2" s="26">
        <v>1287.0</v>
      </c>
      <c r="AJ2" s="24">
        <f t="shared" ref="AJ2:AJ13" si="7">SUM(AH2:AI2)</f>
        <v>3254</v>
      </c>
      <c r="AK2" s="26">
        <v>2127.0</v>
      </c>
      <c r="AL2" s="26">
        <v>1127.0</v>
      </c>
      <c r="AM2" s="24">
        <f t="shared" ref="AM2:AM13" si="8">SUM(AK2:AL2)</f>
        <v>3254</v>
      </c>
      <c r="AN2" s="26">
        <v>3038.0</v>
      </c>
      <c r="AO2" s="27">
        <v>216.0</v>
      </c>
      <c r="AP2" s="24">
        <f t="shared" ref="AP2:AP13" si="9">SUM(AN2:AO2)</f>
        <v>3254</v>
      </c>
      <c r="AQ2" s="26">
        <v>2514.0</v>
      </c>
      <c r="AR2" s="26">
        <v>482.0</v>
      </c>
      <c r="AS2" s="26">
        <v>12.0</v>
      </c>
      <c r="AT2" s="26">
        <v>8.0</v>
      </c>
      <c r="AU2" s="27">
        <v>238.0</v>
      </c>
      <c r="AV2" s="24">
        <f t="shared" ref="AV2:AV13" si="10">SUM(AQ2:AU2)</f>
        <v>3254</v>
      </c>
      <c r="AW2" s="29">
        <f t="shared" ref="AW2:AW13" si="11">AU2</f>
        <v>238</v>
      </c>
      <c r="AX2" s="26">
        <v>2908.0</v>
      </c>
      <c r="AY2" s="27">
        <v>108.0</v>
      </c>
      <c r="AZ2" s="24">
        <f t="shared" ref="AZ2:AZ13" si="12">SUM(AW2:AY2)</f>
        <v>3254</v>
      </c>
      <c r="BA2" s="30">
        <v>1449.0</v>
      </c>
      <c r="BB2" s="30">
        <v>0.0</v>
      </c>
      <c r="BC2" s="30">
        <v>15.0</v>
      </c>
      <c r="BD2" s="30">
        <v>0.0</v>
      </c>
      <c r="BE2" s="30">
        <v>0.0</v>
      </c>
      <c r="BF2" s="30">
        <v>37.0</v>
      </c>
      <c r="BG2" s="30">
        <v>384.0</v>
      </c>
      <c r="BH2" s="31">
        <v>125.0</v>
      </c>
      <c r="BI2" s="24">
        <f t="shared" ref="BI2:BI13" si="13">SUM(BA2:BH2)</f>
        <v>2010</v>
      </c>
      <c r="BJ2" s="30">
        <v>284.0</v>
      </c>
      <c r="BK2" s="30">
        <v>264.0</v>
      </c>
      <c r="BL2" s="30">
        <v>304.0</v>
      </c>
      <c r="BM2" s="30">
        <v>4.0</v>
      </c>
      <c r="BN2" s="30">
        <v>903.0</v>
      </c>
      <c r="BO2" s="30">
        <v>0.0</v>
      </c>
      <c r="BP2" s="31">
        <v>251.0</v>
      </c>
      <c r="BQ2" s="24">
        <f t="shared" ref="BQ2:BQ13" si="14">SUM(BJ2:BP2)</f>
        <v>2010</v>
      </c>
      <c r="BR2" s="32">
        <v>118.0</v>
      </c>
      <c r="BS2" s="30">
        <v>37.0</v>
      </c>
      <c r="BT2" s="31">
        <v>3099.0</v>
      </c>
      <c r="BU2" s="24">
        <f t="shared" ref="BU2:BU13" si="15">SUM(BR2:BT2)</f>
        <v>3254</v>
      </c>
    </row>
    <row r="3" ht="21.0" customHeight="1">
      <c r="A3" s="24" t="s">
        <v>70</v>
      </c>
      <c r="B3" s="33">
        <v>2019.0</v>
      </c>
      <c r="C3" s="30">
        <v>105.0</v>
      </c>
      <c r="D3" s="31">
        <v>21.0</v>
      </c>
      <c r="E3" s="28">
        <f t="shared" si="1"/>
        <v>2145</v>
      </c>
      <c r="F3" s="30">
        <v>312.0</v>
      </c>
      <c r="G3" s="30">
        <v>293.0</v>
      </c>
      <c r="H3" s="30">
        <v>284.0</v>
      </c>
      <c r="I3" s="30">
        <v>293.0</v>
      </c>
      <c r="J3" s="30">
        <v>297.0</v>
      </c>
      <c r="K3" s="30">
        <v>338.0</v>
      </c>
      <c r="L3" s="31">
        <v>328.0</v>
      </c>
      <c r="M3" s="24">
        <f t="shared" si="2"/>
        <v>2145</v>
      </c>
      <c r="N3" s="30">
        <v>1394.0</v>
      </c>
      <c r="O3" s="31">
        <v>751.0</v>
      </c>
      <c r="P3" s="24">
        <f t="shared" si="3"/>
        <v>2145</v>
      </c>
      <c r="Q3" s="30">
        <v>1218.0</v>
      </c>
      <c r="R3" s="31">
        <v>927.0</v>
      </c>
      <c r="S3" s="24">
        <f t="shared" si="4"/>
        <v>2145</v>
      </c>
      <c r="T3" s="30">
        <v>1342.0</v>
      </c>
      <c r="U3" s="30">
        <v>972.0</v>
      </c>
      <c r="V3" s="30">
        <v>7.0</v>
      </c>
      <c r="W3" s="30">
        <v>126.0</v>
      </c>
      <c r="X3" s="30">
        <v>691.0</v>
      </c>
      <c r="Y3" s="30">
        <v>3.0</v>
      </c>
      <c r="Z3" s="31">
        <v>186.0</v>
      </c>
      <c r="AA3" s="24">
        <f t="shared" si="5"/>
        <v>3327</v>
      </c>
      <c r="AB3" s="30">
        <v>928.0</v>
      </c>
      <c r="AC3" s="30">
        <v>1198.0</v>
      </c>
      <c r="AD3" s="30">
        <v>984.0</v>
      </c>
      <c r="AE3" s="30">
        <v>125.0</v>
      </c>
      <c r="AF3" s="30">
        <v>92.0</v>
      </c>
      <c r="AG3" s="24">
        <f t="shared" si="6"/>
        <v>3327</v>
      </c>
      <c r="AH3" s="30">
        <v>2094.0</v>
      </c>
      <c r="AI3" s="30">
        <v>1233.0</v>
      </c>
      <c r="AJ3" s="24">
        <f t="shared" si="7"/>
        <v>3327</v>
      </c>
      <c r="AK3" s="30">
        <v>2379.0</v>
      </c>
      <c r="AL3" s="30">
        <v>948.0</v>
      </c>
      <c r="AM3" s="24">
        <f t="shared" si="8"/>
        <v>3327</v>
      </c>
      <c r="AN3" s="30">
        <v>3222.0</v>
      </c>
      <c r="AO3" s="31">
        <v>105.0</v>
      </c>
      <c r="AP3" s="24">
        <f t="shared" si="9"/>
        <v>3327</v>
      </c>
      <c r="AQ3" s="30">
        <v>2768.0</v>
      </c>
      <c r="AR3" s="30">
        <v>435.0</v>
      </c>
      <c r="AS3" s="30">
        <v>12.0</v>
      </c>
      <c r="AT3" s="30">
        <v>9.0</v>
      </c>
      <c r="AU3" s="31">
        <v>103.0</v>
      </c>
      <c r="AV3" s="24">
        <f t="shared" si="10"/>
        <v>3327</v>
      </c>
      <c r="AW3" s="29">
        <f t="shared" si="11"/>
        <v>103</v>
      </c>
      <c r="AX3" s="30">
        <v>3105.0</v>
      </c>
      <c r="AY3" s="31">
        <v>119.0</v>
      </c>
      <c r="AZ3" s="24">
        <f t="shared" si="12"/>
        <v>3327</v>
      </c>
      <c r="BA3" s="30">
        <v>1524.0</v>
      </c>
      <c r="BB3" s="30">
        <v>0.0</v>
      </c>
      <c r="BC3" s="30">
        <v>18.0</v>
      </c>
      <c r="BD3" s="30">
        <v>0.0</v>
      </c>
      <c r="BE3" s="30">
        <v>2.0</v>
      </c>
      <c r="BF3" s="30">
        <v>48.0</v>
      </c>
      <c r="BG3" s="30">
        <v>197.0</v>
      </c>
      <c r="BH3" s="31">
        <v>356.0</v>
      </c>
      <c r="BI3" s="24">
        <f t="shared" si="13"/>
        <v>2145</v>
      </c>
      <c r="BJ3" s="30">
        <v>64.0</v>
      </c>
      <c r="BK3" s="30">
        <v>297.0</v>
      </c>
      <c r="BL3" s="30">
        <v>618.0</v>
      </c>
      <c r="BM3" s="30">
        <v>3.0</v>
      </c>
      <c r="BN3" s="30">
        <v>846.0</v>
      </c>
      <c r="BO3" s="30">
        <v>0.0</v>
      </c>
      <c r="BP3" s="31">
        <v>317.0</v>
      </c>
      <c r="BQ3" s="24">
        <f t="shared" si="14"/>
        <v>2145</v>
      </c>
      <c r="BR3" s="32">
        <v>165.0</v>
      </c>
      <c r="BS3" s="30">
        <v>25.0</v>
      </c>
      <c r="BT3" s="31">
        <v>3137.0</v>
      </c>
      <c r="BU3" s="24">
        <f t="shared" si="15"/>
        <v>3327</v>
      </c>
    </row>
    <row r="4" ht="21.0" customHeight="1">
      <c r="A4" s="24" t="s">
        <v>71</v>
      </c>
      <c r="B4" s="33">
        <v>2039.0</v>
      </c>
      <c r="C4" s="30">
        <v>90.0</v>
      </c>
      <c r="D4" s="31">
        <v>23.0</v>
      </c>
      <c r="E4" s="28">
        <f t="shared" si="1"/>
        <v>2152</v>
      </c>
      <c r="F4" s="30">
        <v>319.0</v>
      </c>
      <c r="G4" s="30">
        <v>289.0</v>
      </c>
      <c r="H4" s="30">
        <v>293.0</v>
      </c>
      <c r="I4" s="30">
        <v>304.0</v>
      </c>
      <c r="J4" s="30">
        <v>299.0</v>
      </c>
      <c r="K4" s="30">
        <v>317.0</v>
      </c>
      <c r="L4" s="31">
        <v>331.0</v>
      </c>
      <c r="M4" s="24">
        <f t="shared" si="2"/>
        <v>2152</v>
      </c>
      <c r="N4" s="30">
        <v>1384.0</v>
      </c>
      <c r="O4" s="31">
        <v>768.0</v>
      </c>
      <c r="P4" s="24">
        <f t="shared" si="3"/>
        <v>2152</v>
      </c>
      <c r="Q4" s="30">
        <v>1293.0</v>
      </c>
      <c r="R4" s="31">
        <v>859.0</v>
      </c>
      <c r="S4" s="24">
        <f t="shared" si="4"/>
        <v>2152</v>
      </c>
      <c r="T4" s="30">
        <v>1625.0</v>
      </c>
      <c r="U4" s="30">
        <v>982.0</v>
      </c>
      <c r="V4" s="30">
        <v>14.0</v>
      </c>
      <c r="W4" s="30">
        <v>159.0</v>
      </c>
      <c r="X4" s="30">
        <v>437.0</v>
      </c>
      <c r="Y4" s="30">
        <v>4.0</v>
      </c>
      <c r="Z4" s="31">
        <v>241.0</v>
      </c>
      <c r="AA4" s="24">
        <f t="shared" si="5"/>
        <v>3462</v>
      </c>
      <c r="AB4" s="30">
        <v>835.0</v>
      </c>
      <c r="AC4" s="30">
        <v>928.0</v>
      </c>
      <c r="AD4" s="30">
        <v>1208.0</v>
      </c>
      <c r="AE4" s="30">
        <v>324.0</v>
      </c>
      <c r="AF4" s="30">
        <v>167.0</v>
      </c>
      <c r="AG4" s="24">
        <f t="shared" si="6"/>
        <v>3462</v>
      </c>
      <c r="AH4" s="30">
        <v>2084.0</v>
      </c>
      <c r="AI4" s="30">
        <v>1378.0</v>
      </c>
      <c r="AJ4" s="24">
        <f t="shared" si="7"/>
        <v>3462</v>
      </c>
      <c r="AK4" s="30">
        <v>2741.0</v>
      </c>
      <c r="AL4" s="30">
        <v>721.0</v>
      </c>
      <c r="AM4" s="24">
        <f t="shared" si="8"/>
        <v>3462</v>
      </c>
      <c r="AN4" s="30">
        <v>3279.0</v>
      </c>
      <c r="AO4" s="31">
        <v>183.0</v>
      </c>
      <c r="AP4" s="24">
        <f t="shared" si="9"/>
        <v>3462</v>
      </c>
      <c r="AQ4" s="30">
        <v>2728.0</v>
      </c>
      <c r="AR4" s="30">
        <v>462.0</v>
      </c>
      <c r="AS4" s="30">
        <v>19.0</v>
      </c>
      <c r="AT4" s="30">
        <v>12.0</v>
      </c>
      <c r="AU4" s="31">
        <v>241.0</v>
      </c>
      <c r="AV4" s="24">
        <f t="shared" si="10"/>
        <v>3462</v>
      </c>
      <c r="AW4" s="29">
        <f t="shared" si="11"/>
        <v>241</v>
      </c>
      <c r="AX4" s="30">
        <v>3027.0</v>
      </c>
      <c r="AY4" s="31">
        <v>194.0</v>
      </c>
      <c r="AZ4" s="24">
        <f t="shared" si="12"/>
        <v>3462</v>
      </c>
      <c r="BA4" s="30">
        <v>1478.0</v>
      </c>
      <c r="BB4" s="30">
        <v>0.0</v>
      </c>
      <c r="BC4" s="30">
        <v>12.0</v>
      </c>
      <c r="BD4" s="30">
        <v>0.0</v>
      </c>
      <c r="BE4" s="30">
        <v>0.0</v>
      </c>
      <c r="BF4" s="30">
        <v>34.0</v>
      </c>
      <c r="BG4" s="30">
        <v>486.0</v>
      </c>
      <c r="BH4" s="31">
        <v>142.0</v>
      </c>
      <c r="BI4" s="24">
        <f t="shared" si="13"/>
        <v>2152</v>
      </c>
      <c r="BJ4" s="30">
        <v>146.0</v>
      </c>
      <c r="BK4" s="30">
        <v>276.0</v>
      </c>
      <c r="BL4" s="30">
        <v>398.0</v>
      </c>
      <c r="BM4" s="30">
        <v>12.0</v>
      </c>
      <c r="BN4" s="30">
        <v>1036.0</v>
      </c>
      <c r="BO4" s="30">
        <v>0.0</v>
      </c>
      <c r="BP4" s="31">
        <v>284.0</v>
      </c>
      <c r="BQ4" s="24">
        <f t="shared" si="14"/>
        <v>2152</v>
      </c>
      <c r="BR4" s="32">
        <v>118.0</v>
      </c>
      <c r="BS4" s="30">
        <v>24.0</v>
      </c>
      <c r="BT4" s="31">
        <v>3320.0</v>
      </c>
      <c r="BU4" s="24">
        <f t="shared" si="15"/>
        <v>3462</v>
      </c>
    </row>
    <row r="5" ht="21.0" customHeight="1">
      <c r="A5" s="24" t="s">
        <v>72</v>
      </c>
      <c r="B5" s="33">
        <v>1984.0</v>
      </c>
      <c r="C5" s="30">
        <v>135.0</v>
      </c>
      <c r="D5" s="31">
        <v>15.0</v>
      </c>
      <c r="E5" s="28">
        <f t="shared" si="1"/>
        <v>2134</v>
      </c>
      <c r="F5" s="30">
        <v>318.0</v>
      </c>
      <c r="G5" s="30">
        <v>279.0</v>
      </c>
      <c r="H5" s="30">
        <v>286.0</v>
      </c>
      <c r="I5" s="30">
        <v>294.0</v>
      </c>
      <c r="J5" s="30">
        <v>301.0</v>
      </c>
      <c r="K5" s="30">
        <v>332.0</v>
      </c>
      <c r="L5" s="31">
        <v>324.0</v>
      </c>
      <c r="M5" s="24">
        <f t="shared" si="2"/>
        <v>2134</v>
      </c>
      <c r="N5" s="30">
        <v>1419.0</v>
      </c>
      <c r="O5" s="31">
        <v>715.0</v>
      </c>
      <c r="P5" s="24">
        <f t="shared" si="3"/>
        <v>2134</v>
      </c>
      <c r="Q5" s="30">
        <v>1358.0</v>
      </c>
      <c r="R5" s="31">
        <v>776.0</v>
      </c>
      <c r="S5" s="24">
        <f t="shared" si="4"/>
        <v>2134</v>
      </c>
      <c r="T5" s="30">
        <v>1482.0</v>
      </c>
      <c r="U5" s="30">
        <v>1021.0</v>
      </c>
      <c r="V5" s="30">
        <v>12.0</v>
      </c>
      <c r="W5" s="30">
        <v>428.0</v>
      </c>
      <c r="X5" s="30">
        <v>315.0</v>
      </c>
      <c r="Y5" s="30">
        <v>7.0</v>
      </c>
      <c r="Z5" s="31">
        <v>104.0</v>
      </c>
      <c r="AA5" s="24">
        <f t="shared" si="5"/>
        <v>3369</v>
      </c>
      <c r="AB5" s="30">
        <v>682.0</v>
      </c>
      <c r="AC5" s="30">
        <v>973.0</v>
      </c>
      <c r="AD5" s="30">
        <v>1205.0</v>
      </c>
      <c r="AE5" s="30">
        <v>294.0</v>
      </c>
      <c r="AF5" s="30">
        <v>215.0</v>
      </c>
      <c r="AG5" s="24">
        <f t="shared" si="6"/>
        <v>3369</v>
      </c>
      <c r="AH5" s="30">
        <v>1826.0</v>
      </c>
      <c r="AI5" s="30">
        <v>1543.0</v>
      </c>
      <c r="AJ5" s="24">
        <f t="shared" si="7"/>
        <v>3369</v>
      </c>
      <c r="AK5" s="30">
        <v>2577.0</v>
      </c>
      <c r="AL5" s="30">
        <v>792.0</v>
      </c>
      <c r="AM5" s="24">
        <f t="shared" si="8"/>
        <v>3369</v>
      </c>
      <c r="AN5" s="30">
        <v>3055.0</v>
      </c>
      <c r="AO5" s="31">
        <v>314.0</v>
      </c>
      <c r="AP5" s="24">
        <f t="shared" si="9"/>
        <v>3369</v>
      </c>
      <c r="AQ5" s="30">
        <v>2812.0</v>
      </c>
      <c r="AR5" s="30">
        <v>483.0</v>
      </c>
      <c r="AS5" s="30">
        <v>19.0</v>
      </c>
      <c r="AT5" s="30">
        <v>7.0</v>
      </c>
      <c r="AU5" s="31">
        <v>48.0</v>
      </c>
      <c r="AV5" s="24">
        <f t="shared" si="10"/>
        <v>3369</v>
      </c>
      <c r="AW5" s="29">
        <f t="shared" si="11"/>
        <v>48</v>
      </c>
      <c r="AX5" s="30">
        <v>3179.0</v>
      </c>
      <c r="AY5" s="31">
        <v>142.0</v>
      </c>
      <c r="AZ5" s="24">
        <f t="shared" si="12"/>
        <v>3369</v>
      </c>
      <c r="BA5" s="30">
        <v>1649.0</v>
      </c>
      <c r="BB5" s="30">
        <v>0.0</v>
      </c>
      <c r="BC5" s="30">
        <v>14.0</v>
      </c>
      <c r="BD5" s="30">
        <v>0.0</v>
      </c>
      <c r="BE5" s="30">
        <v>14.0</v>
      </c>
      <c r="BF5" s="30">
        <v>104.0</v>
      </c>
      <c r="BG5" s="30">
        <v>129.0</v>
      </c>
      <c r="BH5" s="31">
        <v>224.0</v>
      </c>
      <c r="BI5" s="24">
        <f t="shared" si="13"/>
        <v>2134</v>
      </c>
      <c r="BJ5" s="30">
        <v>170.0</v>
      </c>
      <c r="BK5" s="30">
        <v>285.0</v>
      </c>
      <c r="BL5" s="30">
        <v>345.0</v>
      </c>
      <c r="BM5" s="30">
        <v>12.0</v>
      </c>
      <c r="BN5" s="30">
        <v>948.0</v>
      </c>
      <c r="BO5" s="30">
        <v>0.0</v>
      </c>
      <c r="BP5" s="31">
        <v>374.0</v>
      </c>
      <c r="BQ5" s="24">
        <f t="shared" si="14"/>
        <v>2134</v>
      </c>
      <c r="BR5" s="32">
        <v>122.0</v>
      </c>
      <c r="BS5" s="30">
        <v>22.0</v>
      </c>
      <c r="BT5" s="31">
        <v>3225.0</v>
      </c>
      <c r="BU5" s="24">
        <f t="shared" si="15"/>
        <v>3369</v>
      </c>
    </row>
    <row r="6" ht="21.0" customHeight="1">
      <c r="A6" s="34" t="s">
        <v>73</v>
      </c>
      <c r="B6" s="33">
        <v>2031.0</v>
      </c>
      <c r="C6" s="30">
        <v>90.0</v>
      </c>
      <c r="D6" s="31">
        <v>32.0</v>
      </c>
      <c r="E6" s="28">
        <f t="shared" si="1"/>
        <v>2153</v>
      </c>
      <c r="F6" s="30">
        <v>332.0</v>
      </c>
      <c r="G6" s="30">
        <v>291.0</v>
      </c>
      <c r="H6" s="30">
        <v>284.0</v>
      </c>
      <c r="I6" s="30">
        <v>289.0</v>
      </c>
      <c r="J6" s="30">
        <v>296.0</v>
      </c>
      <c r="K6" s="30">
        <v>346.0</v>
      </c>
      <c r="L6" s="31">
        <v>315.0</v>
      </c>
      <c r="M6" s="24">
        <f t="shared" si="2"/>
        <v>2153</v>
      </c>
      <c r="N6" s="30">
        <v>1157.0</v>
      </c>
      <c r="O6" s="31">
        <v>996.0</v>
      </c>
      <c r="P6" s="24">
        <f t="shared" si="3"/>
        <v>2153</v>
      </c>
      <c r="Q6" s="30">
        <v>1255.0</v>
      </c>
      <c r="R6" s="31">
        <v>898.0</v>
      </c>
      <c r="S6" s="24">
        <f t="shared" si="4"/>
        <v>2153</v>
      </c>
      <c r="T6" s="30">
        <v>1534.0</v>
      </c>
      <c r="U6" s="30">
        <v>1125.0</v>
      </c>
      <c r="V6" s="30">
        <v>19.0</v>
      </c>
      <c r="W6" s="30">
        <v>753.0</v>
      </c>
      <c r="X6" s="30">
        <v>681.0</v>
      </c>
      <c r="Y6" s="30">
        <v>9.0</v>
      </c>
      <c r="Z6" s="31">
        <v>1.0</v>
      </c>
      <c r="AA6" s="24">
        <f t="shared" si="5"/>
        <v>4122</v>
      </c>
      <c r="AB6" s="30">
        <v>958.0</v>
      </c>
      <c r="AC6" s="30">
        <v>1222.0</v>
      </c>
      <c r="AD6" s="30">
        <v>1359.0</v>
      </c>
      <c r="AE6" s="30">
        <v>346.0</v>
      </c>
      <c r="AF6" s="30">
        <v>237.0</v>
      </c>
      <c r="AG6" s="24">
        <f t="shared" si="6"/>
        <v>4122</v>
      </c>
      <c r="AH6" s="30">
        <v>2981.0</v>
      </c>
      <c r="AI6" s="30">
        <v>1141.0</v>
      </c>
      <c r="AJ6" s="24">
        <f t="shared" si="7"/>
        <v>4122</v>
      </c>
      <c r="AK6" s="30">
        <v>2995.0</v>
      </c>
      <c r="AL6" s="30">
        <v>1127.0</v>
      </c>
      <c r="AM6" s="24">
        <f t="shared" si="8"/>
        <v>4122</v>
      </c>
      <c r="AN6" s="30">
        <v>4077.0</v>
      </c>
      <c r="AO6" s="31">
        <v>45.0</v>
      </c>
      <c r="AP6" s="24">
        <f t="shared" si="9"/>
        <v>4122</v>
      </c>
      <c r="AQ6" s="30">
        <v>3463.0</v>
      </c>
      <c r="AR6" s="30">
        <v>492.0</v>
      </c>
      <c r="AS6" s="30">
        <v>12.0</v>
      </c>
      <c r="AT6" s="30">
        <v>17.0</v>
      </c>
      <c r="AU6" s="31">
        <v>138.0</v>
      </c>
      <c r="AV6" s="24">
        <f t="shared" si="10"/>
        <v>4122</v>
      </c>
      <c r="AW6" s="29">
        <f t="shared" si="11"/>
        <v>138</v>
      </c>
      <c r="AX6" s="30">
        <v>3532.0</v>
      </c>
      <c r="AY6" s="31">
        <v>452.0</v>
      </c>
      <c r="AZ6" s="24">
        <f t="shared" si="12"/>
        <v>4122</v>
      </c>
      <c r="BA6" s="30">
        <v>1558.0</v>
      </c>
      <c r="BB6" s="30">
        <v>0.0</v>
      </c>
      <c r="BC6" s="30">
        <v>19.0</v>
      </c>
      <c r="BD6" s="30">
        <v>0.0</v>
      </c>
      <c r="BE6" s="30">
        <v>1.0</v>
      </c>
      <c r="BF6" s="30">
        <v>59.0</v>
      </c>
      <c r="BG6" s="30">
        <v>458.0</v>
      </c>
      <c r="BH6" s="31">
        <v>58.0</v>
      </c>
      <c r="BI6" s="24">
        <f t="shared" si="13"/>
        <v>2153</v>
      </c>
      <c r="BJ6" s="30">
        <v>253.0</v>
      </c>
      <c r="BK6" s="30">
        <v>483.0</v>
      </c>
      <c r="BL6" s="30">
        <v>792.0</v>
      </c>
      <c r="BM6" s="30">
        <v>0.0</v>
      </c>
      <c r="BN6" s="30">
        <v>594.0</v>
      </c>
      <c r="BO6" s="30">
        <v>0.0</v>
      </c>
      <c r="BP6" s="31">
        <v>31.0</v>
      </c>
      <c r="BQ6" s="24">
        <f t="shared" si="14"/>
        <v>2153</v>
      </c>
      <c r="BR6" s="32">
        <v>114.0</v>
      </c>
      <c r="BS6" s="30">
        <v>40.0</v>
      </c>
      <c r="BT6" s="31">
        <v>3850.0</v>
      </c>
      <c r="BU6" s="24">
        <f t="shared" si="15"/>
        <v>4004</v>
      </c>
    </row>
    <row r="7" ht="21.0" customHeight="1">
      <c r="A7" s="34" t="s">
        <v>74</v>
      </c>
      <c r="B7" s="33">
        <v>1888.0</v>
      </c>
      <c r="C7" s="30">
        <v>101.0</v>
      </c>
      <c r="D7" s="31">
        <v>31.0</v>
      </c>
      <c r="E7" s="28">
        <f t="shared" si="1"/>
        <v>2020</v>
      </c>
      <c r="F7" s="30">
        <v>297.0</v>
      </c>
      <c r="G7" s="30">
        <v>274.0</v>
      </c>
      <c r="H7" s="30">
        <v>281.0</v>
      </c>
      <c r="I7" s="30">
        <v>299.0</v>
      </c>
      <c r="J7" s="30">
        <v>273.0</v>
      </c>
      <c r="K7" s="30">
        <v>312.0</v>
      </c>
      <c r="L7" s="31">
        <v>284.0</v>
      </c>
      <c r="M7" s="24">
        <f t="shared" si="2"/>
        <v>2020</v>
      </c>
      <c r="N7" s="30">
        <v>1034.0</v>
      </c>
      <c r="O7" s="31">
        <v>986.0</v>
      </c>
      <c r="P7" s="24">
        <f t="shared" si="3"/>
        <v>2020</v>
      </c>
      <c r="Q7" s="30">
        <v>1229.0</v>
      </c>
      <c r="R7" s="31">
        <v>791.0</v>
      </c>
      <c r="S7" s="24">
        <f t="shared" si="4"/>
        <v>2020</v>
      </c>
      <c r="T7" s="30">
        <v>1346.0</v>
      </c>
      <c r="U7" s="30">
        <v>1023.0</v>
      </c>
      <c r="V7" s="30">
        <v>12.0</v>
      </c>
      <c r="W7" s="30">
        <v>275.0</v>
      </c>
      <c r="X7" s="30">
        <v>729.0</v>
      </c>
      <c r="Y7" s="30">
        <v>8.0</v>
      </c>
      <c r="Z7" s="31">
        <v>132.0</v>
      </c>
      <c r="AA7" s="24">
        <f t="shared" si="5"/>
        <v>3525</v>
      </c>
      <c r="AB7" s="30">
        <v>1055.0</v>
      </c>
      <c r="AC7" s="30">
        <v>1170.0</v>
      </c>
      <c r="AD7" s="30">
        <v>1010.0</v>
      </c>
      <c r="AE7" s="30">
        <v>184.0</v>
      </c>
      <c r="AF7" s="30">
        <v>106.0</v>
      </c>
      <c r="AG7" s="24">
        <f t="shared" si="6"/>
        <v>3525</v>
      </c>
      <c r="AH7" s="30">
        <v>2539.0</v>
      </c>
      <c r="AI7" s="30">
        <v>986.0</v>
      </c>
      <c r="AJ7" s="24">
        <f t="shared" si="7"/>
        <v>3525</v>
      </c>
      <c r="AK7" s="30">
        <v>2251.0</v>
      </c>
      <c r="AL7" s="30">
        <v>1274.0</v>
      </c>
      <c r="AM7" s="24">
        <f t="shared" si="8"/>
        <v>3525</v>
      </c>
      <c r="AN7" s="30">
        <v>3346.0</v>
      </c>
      <c r="AO7" s="31">
        <v>179.0</v>
      </c>
      <c r="AP7" s="24">
        <f t="shared" si="9"/>
        <v>3525</v>
      </c>
      <c r="AQ7" s="30">
        <v>2812.0</v>
      </c>
      <c r="AR7" s="30">
        <v>642.0</v>
      </c>
      <c r="AS7" s="30">
        <v>12.0</v>
      </c>
      <c r="AT7" s="30">
        <v>25.0</v>
      </c>
      <c r="AU7" s="31">
        <v>34.0</v>
      </c>
      <c r="AV7" s="24">
        <f t="shared" si="10"/>
        <v>3525</v>
      </c>
      <c r="AW7" s="29">
        <f t="shared" si="11"/>
        <v>34</v>
      </c>
      <c r="AX7" s="30">
        <v>3323.0</v>
      </c>
      <c r="AY7" s="31">
        <v>168.0</v>
      </c>
      <c r="AZ7" s="24">
        <f t="shared" si="12"/>
        <v>3525</v>
      </c>
      <c r="BA7" s="30">
        <v>1692.0</v>
      </c>
      <c r="BB7" s="30">
        <v>0.0</v>
      </c>
      <c r="BC7" s="30">
        <v>19.0</v>
      </c>
      <c r="BD7" s="30">
        <v>0.0</v>
      </c>
      <c r="BE7" s="30">
        <v>0.0</v>
      </c>
      <c r="BF7" s="30">
        <v>37.0</v>
      </c>
      <c r="BG7" s="30">
        <v>246.0</v>
      </c>
      <c r="BH7" s="31">
        <v>26.0</v>
      </c>
      <c r="BI7" s="24">
        <f t="shared" si="13"/>
        <v>2020</v>
      </c>
      <c r="BJ7" s="30">
        <v>197.0</v>
      </c>
      <c r="BK7" s="30">
        <v>218.0</v>
      </c>
      <c r="BL7" s="30">
        <v>493.0</v>
      </c>
      <c r="BM7" s="30">
        <v>0.0</v>
      </c>
      <c r="BN7" s="30">
        <v>817.0</v>
      </c>
      <c r="BO7" s="30">
        <v>0.0</v>
      </c>
      <c r="BP7" s="31">
        <v>295.0</v>
      </c>
      <c r="BQ7" s="24">
        <f t="shared" si="14"/>
        <v>2020</v>
      </c>
      <c r="BR7" s="32">
        <v>119.0</v>
      </c>
      <c r="BS7" s="30">
        <v>30.0</v>
      </c>
      <c r="BT7" s="31">
        <v>3396.0</v>
      </c>
      <c r="BU7" s="24">
        <f t="shared" si="15"/>
        <v>3545</v>
      </c>
    </row>
    <row r="8" ht="21.0" customHeight="1">
      <c r="A8" s="24" t="s">
        <v>75</v>
      </c>
      <c r="B8" s="33">
        <v>2286.0</v>
      </c>
      <c r="C8" s="30">
        <v>88.0</v>
      </c>
      <c r="D8" s="31">
        <v>29.0</v>
      </c>
      <c r="E8" s="28">
        <f t="shared" si="1"/>
        <v>2403</v>
      </c>
      <c r="F8" s="30">
        <v>364.0</v>
      </c>
      <c r="G8" s="30">
        <v>337.0</v>
      </c>
      <c r="H8" s="30">
        <v>331.0</v>
      </c>
      <c r="I8" s="30">
        <v>325.0</v>
      </c>
      <c r="J8" s="30">
        <v>334.0</v>
      </c>
      <c r="K8" s="30">
        <v>361.0</v>
      </c>
      <c r="L8" s="31">
        <v>351.0</v>
      </c>
      <c r="M8" s="24">
        <f t="shared" si="2"/>
        <v>2403</v>
      </c>
      <c r="N8" s="30">
        <v>1462.0</v>
      </c>
      <c r="O8" s="31">
        <v>941.0</v>
      </c>
      <c r="P8" s="24">
        <f t="shared" si="3"/>
        <v>2403</v>
      </c>
      <c r="Q8" s="30">
        <v>1394.0</v>
      </c>
      <c r="R8" s="31">
        <v>1009.0</v>
      </c>
      <c r="S8" s="24">
        <f t="shared" si="4"/>
        <v>2403</v>
      </c>
      <c r="T8" s="30">
        <v>1203.0</v>
      </c>
      <c r="U8" s="30">
        <v>1042.0</v>
      </c>
      <c r="V8" s="30">
        <v>12.0</v>
      </c>
      <c r="W8" s="30">
        <v>843.0</v>
      </c>
      <c r="X8" s="30">
        <v>946.0</v>
      </c>
      <c r="Y8" s="30">
        <v>9.0</v>
      </c>
      <c r="Z8" s="31">
        <v>16.0</v>
      </c>
      <c r="AA8" s="24">
        <f t="shared" si="5"/>
        <v>4071</v>
      </c>
      <c r="AB8" s="30">
        <v>986.0</v>
      </c>
      <c r="AC8" s="30">
        <v>1195.0</v>
      </c>
      <c r="AD8" s="30">
        <v>1342.0</v>
      </c>
      <c r="AE8" s="30">
        <v>341.0</v>
      </c>
      <c r="AF8" s="30">
        <v>207.0</v>
      </c>
      <c r="AG8" s="24">
        <f t="shared" si="6"/>
        <v>4071</v>
      </c>
      <c r="AH8" s="30">
        <v>2549.0</v>
      </c>
      <c r="AI8" s="30">
        <v>1522.0</v>
      </c>
      <c r="AJ8" s="24">
        <f t="shared" si="7"/>
        <v>4071</v>
      </c>
      <c r="AK8" s="30">
        <v>3007.0</v>
      </c>
      <c r="AL8" s="30">
        <v>1064.0</v>
      </c>
      <c r="AM8" s="24">
        <f t="shared" si="8"/>
        <v>4071</v>
      </c>
      <c r="AN8" s="30">
        <v>3823.0</v>
      </c>
      <c r="AO8" s="31">
        <v>248.0</v>
      </c>
      <c r="AP8" s="24">
        <f t="shared" si="9"/>
        <v>4071</v>
      </c>
      <c r="AQ8" s="30">
        <v>3428.0</v>
      </c>
      <c r="AR8" s="30">
        <v>473.0</v>
      </c>
      <c r="AS8" s="30">
        <v>17.0</v>
      </c>
      <c r="AT8" s="30">
        <v>19.0</v>
      </c>
      <c r="AU8" s="31">
        <v>134.0</v>
      </c>
      <c r="AV8" s="24">
        <f t="shared" si="10"/>
        <v>4071</v>
      </c>
      <c r="AW8" s="29">
        <f t="shared" si="11"/>
        <v>134</v>
      </c>
      <c r="AX8" s="30">
        <v>3473.0</v>
      </c>
      <c r="AY8" s="31">
        <v>464.0</v>
      </c>
      <c r="AZ8" s="24">
        <f t="shared" si="12"/>
        <v>4071</v>
      </c>
      <c r="BA8" s="30">
        <v>1851.0</v>
      </c>
      <c r="BB8" s="30">
        <v>0.0</v>
      </c>
      <c r="BC8" s="30">
        <v>8.0</v>
      </c>
      <c r="BD8" s="30">
        <v>0.0</v>
      </c>
      <c r="BE8" s="30">
        <v>0.0</v>
      </c>
      <c r="BF8" s="30">
        <v>48.0</v>
      </c>
      <c r="BG8" s="30">
        <v>249.0</v>
      </c>
      <c r="BH8" s="31">
        <v>247.0</v>
      </c>
      <c r="BI8" s="24">
        <f t="shared" si="13"/>
        <v>2403</v>
      </c>
      <c r="BJ8" s="30">
        <v>167.0</v>
      </c>
      <c r="BK8" s="30">
        <v>482.0</v>
      </c>
      <c r="BL8" s="30">
        <v>543.0</v>
      </c>
      <c r="BM8" s="30">
        <v>14.0</v>
      </c>
      <c r="BN8" s="30">
        <v>1035.0</v>
      </c>
      <c r="BO8" s="30">
        <v>0.0</v>
      </c>
      <c r="BP8" s="31">
        <v>162.0</v>
      </c>
      <c r="BQ8" s="24">
        <f t="shared" si="14"/>
        <v>2403</v>
      </c>
      <c r="BR8" s="32">
        <v>99.0</v>
      </c>
      <c r="BS8" s="30">
        <v>34.0</v>
      </c>
      <c r="BT8" s="31">
        <v>3939.0</v>
      </c>
      <c r="BU8" s="24">
        <f t="shared" si="15"/>
        <v>4072</v>
      </c>
    </row>
    <row r="9" ht="21.0" customHeight="1">
      <c r="A9" s="24" t="s">
        <v>76</v>
      </c>
      <c r="B9" s="33">
        <v>2271.0</v>
      </c>
      <c r="C9" s="30">
        <v>108.0</v>
      </c>
      <c r="D9" s="31">
        <v>22.0</v>
      </c>
      <c r="E9" s="28">
        <f t="shared" si="1"/>
        <v>2401</v>
      </c>
      <c r="F9" s="30">
        <v>354.0</v>
      </c>
      <c r="G9" s="30">
        <v>326.0</v>
      </c>
      <c r="H9" s="30">
        <v>315.0</v>
      </c>
      <c r="I9" s="30">
        <v>314.0</v>
      </c>
      <c r="J9" s="30">
        <v>351.0</v>
      </c>
      <c r="K9" s="30">
        <v>379.0</v>
      </c>
      <c r="L9" s="31">
        <v>362.0</v>
      </c>
      <c r="M9" s="24">
        <f t="shared" si="2"/>
        <v>2401</v>
      </c>
      <c r="N9" s="30">
        <v>1539.0</v>
      </c>
      <c r="O9" s="31">
        <v>862.0</v>
      </c>
      <c r="P9" s="24">
        <f t="shared" si="3"/>
        <v>2401</v>
      </c>
      <c r="Q9" s="30">
        <v>1447.0</v>
      </c>
      <c r="R9" s="31">
        <v>954.0</v>
      </c>
      <c r="S9" s="24">
        <f t="shared" si="4"/>
        <v>2401</v>
      </c>
      <c r="T9" s="30">
        <v>2124.0</v>
      </c>
      <c r="U9" s="30">
        <v>943.0</v>
      </c>
      <c r="V9" s="30">
        <v>19.0</v>
      </c>
      <c r="W9" s="30">
        <v>493.0</v>
      </c>
      <c r="X9" s="30">
        <v>754.0</v>
      </c>
      <c r="Y9" s="30">
        <v>13.0</v>
      </c>
      <c r="Z9" s="31">
        <v>117.0</v>
      </c>
      <c r="AA9" s="24">
        <f t="shared" si="5"/>
        <v>4463</v>
      </c>
      <c r="AB9" s="30">
        <v>1516.0</v>
      </c>
      <c r="AC9" s="30">
        <v>1417.0</v>
      </c>
      <c r="AD9" s="30">
        <v>1204.0</v>
      </c>
      <c r="AE9" s="30">
        <v>197.0</v>
      </c>
      <c r="AF9" s="30">
        <v>129.0</v>
      </c>
      <c r="AG9" s="24">
        <f t="shared" si="6"/>
        <v>4463</v>
      </c>
      <c r="AH9" s="30">
        <v>2984.0</v>
      </c>
      <c r="AI9" s="30">
        <v>1479.0</v>
      </c>
      <c r="AJ9" s="24">
        <f t="shared" si="7"/>
        <v>4463</v>
      </c>
      <c r="AK9" s="30">
        <v>2636.0</v>
      </c>
      <c r="AL9" s="30">
        <v>1827.0</v>
      </c>
      <c r="AM9" s="24">
        <f t="shared" si="8"/>
        <v>4463</v>
      </c>
      <c r="AN9" s="30">
        <v>4291.0</v>
      </c>
      <c r="AO9" s="31">
        <v>172.0</v>
      </c>
      <c r="AP9" s="24">
        <f t="shared" si="9"/>
        <v>4463</v>
      </c>
      <c r="AQ9" s="30">
        <v>3821.0</v>
      </c>
      <c r="AR9" s="30">
        <v>496.0</v>
      </c>
      <c r="AS9" s="30">
        <v>14.0</v>
      </c>
      <c r="AT9" s="30">
        <v>35.0</v>
      </c>
      <c r="AU9" s="31">
        <v>97.0</v>
      </c>
      <c r="AV9" s="24">
        <f t="shared" si="10"/>
        <v>4463</v>
      </c>
      <c r="AW9" s="29">
        <f t="shared" si="11"/>
        <v>97</v>
      </c>
      <c r="AX9" s="30">
        <v>4169.0</v>
      </c>
      <c r="AY9" s="31">
        <v>197.0</v>
      </c>
      <c r="AZ9" s="24">
        <f t="shared" si="12"/>
        <v>4463</v>
      </c>
      <c r="BA9" s="30">
        <v>1852.0</v>
      </c>
      <c r="BB9" s="30">
        <v>0.0</v>
      </c>
      <c r="BC9" s="30">
        <v>19.0</v>
      </c>
      <c r="BD9" s="30">
        <v>0.0</v>
      </c>
      <c r="BE9" s="30">
        <v>0.0</v>
      </c>
      <c r="BF9" s="30">
        <v>48.0</v>
      </c>
      <c r="BG9" s="30">
        <v>297.0</v>
      </c>
      <c r="BH9" s="31">
        <v>185.0</v>
      </c>
      <c r="BI9" s="24">
        <f t="shared" si="13"/>
        <v>2401</v>
      </c>
      <c r="BJ9" s="30">
        <v>364.0</v>
      </c>
      <c r="BK9" s="30">
        <v>378.0</v>
      </c>
      <c r="BL9" s="30">
        <v>385.0</v>
      </c>
      <c r="BM9" s="30">
        <v>18.0</v>
      </c>
      <c r="BN9" s="30">
        <v>972.0</v>
      </c>
      <c r="BO9" s="30">
        <v>0.0</v>
      </c>
      <c r="BP9" s="31">
        <v>284.0</v>
      </c>
      <c r="BQ9" s="24">
        <f t="shared" si="14"/>
        <v>2401</v>
      </c>
      <c r="BR9" s="32">
        <v>119.0</v>
      </c>
      <c r="BS9" s="30">
        <v>25.0</v>
      </c>
      <c r="BT9" s="31">
        <v>4319.0</v>
      </c>
      <c r="BU9" s="24">
        <f t="shared" si="15"/>
        <v>4463</v>
      </c>
    </row>
    <row r="10" ht="21.0" customHeight="1">
      <c r="A10" s="24" t="s">
        <v>77</v>
      </c>
      <c r="B10" s="33">
        <v>2271.0</v>
      </c>
      <c r="C10" s="30">
        <v>96.0</v>
      </c>
      <c r="D10" s="31">
        <v>36.0</v>
      </c>
      <c r="E10" s="28">
        <f t="shared" si="1"/>
        <v>2403</v>
      </c>
      <c r="F10" s="30">
        <v>364.0</v>
      </c>
      <c r="G10" s="30">
        <v>337.0</v>
      </c>
      <c r="H10" s="30">
        <v>331.0</v>
      </c>
      <c r="I10" s="30">
        <v>325.0</v>
      </c>
      <c r="J10" s="30">
        <v>334.0</v>
      </c>
      <c r="K10" s="30">
        <v>361.0</v>
      </c>
      <c r="L10" s="31">
        <v>351.0</v>
      </c>
      <c r="M10" s="24">
        <f t="shared" si="2"/>
        <v>2403</v>
      </c>
      <c r="N10" s="30">
        <v>1462.0</v>
      </c>
      <c r="O10" s="31">
        <v>941.0</v>
      </c>
      <c r="P10" s="24">
        <f t="shared" si="3"/>
        <v>2403</v>
      </c>
      <c r="Q10" s="30">
        <v>1394.0</v>
      </c>
      <c r="R10" s="31">
        <v>1009.0</v>
      </c>
      <c r="S10" s="24">
        <f t="shared" si="4"/>
        <v>2403</v>
      </c>
      <c r="T10" s="30">
        <v>1203.0</v>
      </c>
      <c r="U10" s="30">
        <v>1042.0</v>
      </c>
      <c r="V10" s="30">
        <v>12.0</v>
      </c>
      <c r="W10" s="30">
        <v>843.0</v>
      </c>
      <c r="X10" s="30">
        <v>946.0</v>
      </c>
      <c r="Y10" s="30">
        <v>9.0</v>
      </c>
      <c r="Z10" s="31">
        <v>16.0</v>
      </c>
      <c r="AA10" s="24">
        <f t="shared" si="5"/>
        <v>4071</v>
      </c>
      <c r="AB10" s="30">
        <v>986.0</v>
      </c>
      <c r="AC10" s="30">
        <v>1195.0</v>
      </c>
      <c r="AD10" s="30">
        <v>1342.0</v>
      </c>
      <c r="AE10" s="30">
        <v>341.0</v>
      </c>
      <c r="AF10" s="30">
        <v>207.0</v>
      </c>
      <c r="AG10" s="24">
        <f t="shared" si="6"/>
        <v>4071</v>
      </c>
      <c r="AH10" s="30">
        <v>2549.0</v>
      </c>
      <c r="AI10" s="30">
        <v>1522.0</v>
      </c>
      <c r="AJ10" s="24">
        <f t="shared" si="7"/>
        <v>4071</v>
      </c>
      <c r="AK10" s="30">
        <v>3007.0</v>
      </c>
      <c r="AL10" s="30">
        <v>1064.0</v>
      </c>
      <c r="AM10" s="24">
        <f t="shared" si="8"/>
        <v>4071</v>
      </c>
      <c r="AN10" s="30">
        <v>3823.0</v>
      </c>
      <c r="AO10" s="31">
        <v>248.0</v>
      </c>
      <c r="AP10" s="24">
        <f t="shared" si="9"/>
        <v>4071</v>
      </c>
      <c r="AQ10" s="30">
        <v>3428.0</v>
      </c>
      <c r="AR10" s="30">
        <v>473.0</v>
      </c>
      <c r="AS10" s="30">
        <v>14.0</v>
      </c>
      <c r="AT10" s="30">
        <v>19.0</v>
      </c>
      <c r="AU10" s="31">
        <v>137.0</v>
      </c>
      <c r="AV10" s="24">
        <f t="shared" si="10"/>
        <v>4071</v>
      </c>
      <c r="AW10" s="29">
        <f t="shared" si="11"/>
        <v>137</v>
      </c>
      <c r="AX10" s="30">
        <v>3473.0</v>
      </c>
      <c r="AY10" s="31">
        <v>461.0</v>
      </c>
      <c r="AZ10" s="24">
        <f t="shared" si="12"/>
        <v>4071</v>
      </c>
      <c r="BA10" s="30">
        <v>1851.0</v>
      </c>
      <c r="BB10" s="30">
        <v>0.0</v>
      </c>
      <c r="BC10" s="30">
        <v>59.0</v>
      </c>
      <c r="BD10" s="30">
        <v>0.0</v>
      </c>
      <c r="BE10" s="30">
        <v>2.0</v>
      </c>
      <c r="BF10" s="30">
        <v>48.0</v>
      </c>
      <c r="BG10" s="30">
        <v>249.0</v>
      </c>
      <c r="BH10" s="31">
        <v>194.0</v>
      </c>
      <c r="BI10" s="24">
        <f t="shared" si="13"/>
        <v>2403</v>
      </c>
      <c r="BJ10" s="30">
        <v>167.0</v>
      </c>
      <c r="BK10" s="30">
        <v>482.0</v>
      </c>
      <c r="BL10" s="30">
        <v>543.0</v>
      </c>
      <c r="BM10" s="30">
        <v>14.0</v>
      </c>
      <c r="BN10" s="30">
        <v>1035.0</v>
      </c>
      <c r="BO10" s="30">
        <v>1.0</v>
      </c>
      <c r="BP10" s="31">
        <v>161.0</v>
      </c>
      <c r="BQ10" s="24">
        <f t="shared" si="14"/>
        <v>2403</v>
      </c>
      <c r="BR10" s="32">
        <v>120.0</v>
      </c>
      <c r="BS10" s="30">
        <v>53.0</v>
      </c>
      <c r="BT10" s="31">
        <v>3940.0</v>
      </c>
      <c r="BU10" s="24">
        <f t="shared" si="15"/>
        <v>4113</v>
      </c>
    </row>
    <row r="11" ht="21.0" customHeight="1">
      <c r="A11" s="24" t="s">
        <v>78</v>
      </c>
      <c r="B11" s="33">
        <v>1976.0</v>
      </c>
      <c r="C11" s="30">
        <v>149.0</v>
      </c>
      <c r="D11" s="31">
        <v>27.0</v>
      </c>
      <c r="E11" s="28">
        <f t="shared" si="1"/>
        <v>2152</v>
      </c>
      <c r="F11" s="30">
        <v>342.0</v>
      </c>
      <c r="G11" s="30">
        <v>290.0</v>
      </c>
      <c r="H11" s="30">
        <v>303.0</v>
      </c>
      <c r="I11" s="30">
        <v>252.0</v>
      </c>
      <c r="J11" s="30">
        <v>235.0</v>
      </c>
      <c r="K11" s="30">
        <v>382.0</v>
      </c>
      <c r="L11" s="31">
        <v>348.0</v>
      </c>
      <c r="M11" s="24">
        <f t="shared" si="2"/>
        <v>2152</v>
      </c>
      <c r="N11" s="30">
        <v>1479.0</v>
      </c>
      <c r="O11" s="31">
        <v>673.0</v>
      </c>
      <c r="P11" s="24">
        <f t="shared" si="3"/>
        <v>2152</v>
      </c>
      <c r="Q11" s="30">
        <v>1256.0</v>
      </c>
      <c r="R11" s="31">
        <v>896.0</v>
      </c>
      <c r="S11" s="24">
        <f t="shared" si="4"/>
        <v>2152</v>
      </c>
      <c r="T11" s="30">
        <v>1185.0</v>
      </c>
      <c r="U11" s="30">
        <v>1055.0</v>
      </c>
      <c r="V11" s="30">
        <v>13.0</v>
      </c>
      <c r="W11" s="30">
        <v>812.0</v>
      </c>
      <c r="X11" s="30">
        <v>9.0</v>
      </c>
      <c r="Y11" s="30">
        <v>25.0</v>
      </c>
      <c r="Z11" s="31">
        <v>105.0</v>
      </c>
      <c r="AA11" s="24">
        <f t="shared" si="5"/>
        <v>3204</v>
      </c>
      <c r="AB11" s="30">
        <v>788.0</v>
      </c>
      <c r="AC11" s="30">
        <v>995.0</v>
      </c>
      <c r="AD11" s="30">
        <v>1183.0</v>
      </c>
      <c r="AE11" s="30">
        <v>142.0</v>
      </c>
      <c r="AF11" s="30">
        <v>96.0</v>
      </c>
      <c r="AG11" s="24">
        <f t="shared" si="6"/>
        <v>3204</v>
      </c>
      <c r="AH11" s="30">
        <v>1976.0</v>
      </c>
      <c r="AI11" s="30">
        <v>1228.0</v>
      </c>
      <c r="AJ11" s="24">
        <f t="shared" si="7"/>
        <v>3204</v>
      </c>
      <c r="AK11" s="30">
        <v>1952.0</v>
      </c>
      <c r="AL11" s="30">
        <v>1252.0</v>
      </c>
      <c r="AM11" s="24">
        <f t="shared" si="8"/>
        <v>3204</v>
      </c>
      <c r="AN11" s="30">
        <v>3050.0</v>
      </c>
      <c r="AO11" s="31">
        <v>154.0</v>
      </c>
      <c r="AP11" s="24">
        <f t="shared" si="9"/>
        <v>3204</v>
      </c>
      <c r="AQ11" s="30">
        <v>1781.0</v>
      </c>
      <c r="AR11" s="30">
        <v>975.0</v>
      </c>
      <c r="AS11" s="30">
        <v>18.0</v>
      </c>
      <c r="AT11" s="30">
        <v>25.0</v>
      </c>
      <c r="AU11" s="31">
        <v>405.0</v>
      </c>
      <c r="AV11" s="24">
        <f t="shared" si="10"/>
        <v>3204</v>
      </c>
      <c r="AW11" s="29">
        <f t="shared" si="11"/>
        <v>405</v>
      </c>
      <c r="AX11" s="30">
        <v>2338.0</v>
      </c>
      <c r="AY11" s="31">
        <v>461.0</v>
      </c>
      <c r="AZ11" s="24">
        <f t="shared" si="12"/>
        <v>3204</v>
      </c>
      <c r="BA11" s="30">
        <v>1685.0</v>
      </c>
      <c r="BB11" s="30">
        <v>0.0</v>
      </c>
      <c r="BC11" s="30">
        <v>54.0</v>
      </c>
      <c r="BD11" s="30">
        <v>0.0</v>
      </c>
      <c r="BE11" s="30">
        <v>4.0</v>
      </c>
      <c r="BF11" s="30">
        <v>62.0</v>
      </c>
      <c r="BG11" s="30">
        <v>172.0</v>
      </c>
      <c r="BH11" s="31">
        <v>175.0</v>
      </c>
      <c r="BI11" s="24">
        <f t="shared" si="13"/>
        <v>2152</v>
      </c>
      <c r="BJ11" s="30">
        <v>157.0</v>
      </c>
      <c r="BK11" s="30">
        <v>385.0</v>
      </c>
      <c r="BL11" s="30">
        <v>492.0</v>
      </c>
      <c r="BM11" s="30">
        <v>18.0</v>
      </c>
      <c r="BN11" s="30">
        <v>935.0</v>
      </c>
      <c r="BO11" s="30">
        <v>0.0</v>
      </c>
      <c r="BP11" s="31">
        <v>165.0</v>
      </c>
      <c r="BQ11" s="24">
        <f t="shared" si="14"/>
        <v>2152</v>
      </c>
      <c r="BR11" s="32">
        <v>163.0</v>
      </c>
      <c r="BS11" s="30">
        <v>32.0</v>
      </c>
      <c r="BT11" s="31">
        <v>3009.0</v>
      </c>
      <c r="BU11" s="24">
        <f t="shared" si="15"/>
        <v>3204</v>
      </c>
    </row>
    <row r="12" ht="21.0" customHeight="1">
      <c r="A12" s="24" t="s">
        <v>79</v>
      </c>
      <c r="B12" s="33">
        <v>1780.0</v>
      </c>
      <c r="C12" s="30">
        <v>99.0</v>
      </c>
      <c r="D12" s="31">
        <v>30.0</v>
      </c>
      <c r="E12" s="28">
        <f t="shared" si="1"/>
        <v>1909</v>
      </c>
      <c r="F12" s="30">
        <v>298.0</v>
      </c>
      <c r="G12" s="30">
        <v>269.0</v>
      </c>
      <c r="H12" s="30">
        <v>258.0</v>
      </c>
      <c r="I12" s="30">
        <v>263.0</v>
      </c>
      <c r="J12" s="30">
        <v>254.0</v>
      </c>
      <c r="K12" s="30">
        <v>294.0</v>
      </c>
      <c r="L12" s="31">
        <v>273.0</v>
      </c>
      <c r="M12" s="24">
        <f t="shared" si="2"/>
        <v>1909</v>
      </c>
      <c r="N12" s="30">
        <v>1206.0</v>
      </c>
      <c r="O12" s="31">
        <v>703.0</v>
      </c>
      <c r="P12" s="24">
        <f t="shared" si="3"/>
        <v>1909</v>
      </c>
      <c r="Q12" s="30">
        <v>1234.0</v>
      </c>
      <c r="R12" s="31">
        <v>675.0</v>
      </c>
      <c r="S12" s="24">
        <f t="shared" si="4"/>
        <v>1909</v>
      </c>
      <c r="T12" s="30">
        <v>1225.0</v>
      </c>
      <c r="U12" s="30">
        <v>865.0</v>
      </c>
      <c r="V12" s="30">
        <v>6.0</v>
      </c>
      <c r="W12" s="30">
        <v>340.0</v>
      </c>
      <c r="X12" s="30">
        <v>665.0</v>
      </c>
      <c r="Y12" s="30">
        <v>1.0</v>
      </c>
      <c r="Z12" s="31">
        <v>125.0</v>
      </c>
      <c r="AA12" s="24">
        <f t="shared" si="5"/>
        <v>3227</v>
      </c>
      <c r="AB12" s="30">
        <v>825.0</v>
      </c>
      <c r="AC12" s="30">
        <v>870.0</v>
      </c>
      <c r="AD12" s="30">
        <v>960.0</v>
      </c>
      <c r="AE12" s="30">
        <v>395.0</v>
      </c>
      <c r="AF12" s="30">
        <v>177.0</v>
      </c>
      <c r="AG12" s="24">
        <f t="shared" si="6"/>
        <v>3227</v>
      </c>
      <c r="AH12" s="30">
        <v>1972.0</v>
      </c>
      <c r="AI12" s="30">
        <v>1255.0</v>
      </c>
      <c r="AJ12" s="24">
        <f t="shared" si="7"/>
        <v>3227</v>
      </c>
      <c r="AK12" s="30">
        <v>2217.0</v>
      </c>
      <c r="AL12" s="30">
        <v>1010.0</v>
      </c>
      <c r="AM12" s="24">
        <f t="shared" si="8"/>
        <v>3227</v>
      </c>
      <c r="AN12" s="30">
        <v>2980.0</v>
      </c>
      <c r="AO12" s="31">
        <v>247.0</v>
      </c>
      <c r="AP12" s="24">
        <f t="shared" si="9"/>
        <v>3227</v>
      </c>
      <c r="AQ12" s="30">
        <v>2498.0</v>
      </c>
      <c r="AR12" s="30">
        <v>485.0</v>
      </c>
      <c r="AS12" s="30">
        <v>10.0</v>
      </c>
      <c r="AT12" s="30">
        <v>7.0</v>
      </c>
      <c r="AU12" s="31">
        <v>227.0</v>
      </c>
      <c r="AV12" s="24">
        <f t="shared" si="10"/>
        <v>3227</v>
      </c>
      <c r="AW12" s="29">
        <f t="shared" si="11"/>
        <v>227</v>
      </c>
      <c r="AX12" s="30">
        <v>2792.0</v>
      </c>
      <c r="AY12" s="31">
        <v>208.0</v>
      </c>
      <c r="AZ12" s="24">
        <f t="shared" si="12"/>
        <v>3227</v>
      </c>
      <c r="BA12" s="30">
        <v>1448.0</v>
      </c>
      <c r="BB12" s="30">
        <v>0.0</v>
      </c>
      <c r="BC12" s="30">
        <v>15.0</v>
      </c>
      <c r="BD12" s="30">
        <v>0.0</v>
      </c>
      <c r="BE12" s="30">
        <v>0.0</v>
      </c>
      <c r="BF12" s="30">
        <v>37.0</v>
      </c>
      <c r="BG12" s="30">
        <v>284.0</v>
      </c>
      <c r="BH12" s="31">
        <v>125.0</v>
      </c>
      <c r="BI12" s="24">
        <f t="shared" si="13"/>
        <v>1909</v>
      </c>
      <c r="BJ12" s="30">
        <v>284.0</v>
      </c>
      <c r="BK12" s="30">
        <v>264.0</v>
      </c>
      <c r="BL12" s="30">
        <v>304.0</v>
      </c>
      <c r="BM12" s="30">
        <v>4.0</v>
      </c>
      <c r="BN12" s="30">
        <v>802.0</v>
      </c>
      <c r="BO12" s="30">
        <v>0.0</v>
      </c>
      <c r="BP12" s="31">
        <v>251.0</v>
      </c>
      <c r="BQ12" s="24">
        <f t="shared" si="14"/>
        <v>1909</v>
      </c>
      <c r="BR12" s="32">
        <v>129.0</v>
      </c>
      <c r="BS12" s="30">
        <v>41.0</v>
      </c>
      <c r="BT12" s="31">
        <v>3057.0</v>
      </c>
      <c r="BU12" s="24">
        <f t="shared" si="15"/>
        <v>3227</v>
      </c>
    </row>
    <row r="13" ht="21.0" customHeight="1">
      <c r="A13" s="24" t="s">
        <v>80</v>
      </c>
      <c r="B13" s="35">
        <v>1652.0</v>
      </c>
      <c r="C13" s="36">
        <v>101.0</v>
      </c>
      <c r="D13" s="37">
        <v>29.0</v>
      </c>
      <c r="E13" s="28">
        <f t="shared" si="1"/>
        <v>1782</v>
      </c>
      <c r="F13" s="36">
        <v>297.0</v>
      </c>
      <c r="G13" s="36">
        <v>231.0</v>
      </c>
      <c r="H13" s="36">
        <v>239.0</v>
      </c>
      <c r="I13" s="36">
        <v>258.0</v>
      </c>
      <c r="J13" s="36">
        <v>249.0</v>
      </c>
      <c r="K13" s="36">
        <v>274.0</v>
      </c>
      <c r="L13" s="37">
        <v>234.0</v>
      </c>
      <c r="M13" s="24">
        <f t="shared" si="2"/>
        <v>1782</v>
      </c>
      <c r="N13" s="36">
        <v>984.0</v>
      </c>
      <c r="O13" s="37">
        <v>798.0</v>
      </c>
      <c r="P13" s="24">
        <f t="shared" si="3"/>
        <v>1782</v>
      </c>
      <c r="Q13" s="30">
        <v>1017.0</v>
      </c>
      <c r="R13" s="31">
        <v>765.0</v>
      </c>
      <c r="S13" s="24">
        <f t="shared" si="4"/>
        <v>1782</v>
      </c>
      <c r="T13" s="30">
        <v>1282.0</v>
      </c>
      <c r="U13" s="30">
        <v>984.0</v>
      </c>
      <c r="V13" s="30">
        <v>12.0</v>
      </c>
      <c r="W13" s="30">
        <v>143.0</v>
      </c>
      <c r="X13" s="30">
        <v>539.0</v>
      </c>
      <c r="Y13" s="30">
        <v>8.0</v>
      </c>
      <c r="Z13" s="31">
        <v>471.0</v>
      </c>
      <c r="AA13" s="24">
        <f t="shared" si="5"/>
        <v>3439</v>
      </c>
      <c r="AB13" s="30">
        <v>942.0</v>
      </c>
      <c r="AC13" s="30">
        <v>940.0</v>
      </c>
      <c r="AD13" s="30">
        <v>804.0</v>
      </c>
      <c r="AE13" s="30">
        <v>451.0</v>
      </c>
      <c r="AF13" s="30">
        <v>302.0</v>
      </c>
      <c r="AG13" s="24">
        <f t="shared" si="6"/>
        <v>3439</v>
      </c>
      <c r="AH13" s="30">
        <v>2564.0</v>
      </c>
      <c r="AI13" s="30">
        <v>875.0</v>
      </c>
      <c r="AJ13" s="24">
        <f t="shared" si="7"/>
        <v>3439</v>
      </c>
      <c r="AK13" s="30">
        <v>2423.0</v>
      </c>
      <c r="AL13" s="30">
        <v>1016.0</v>
      </c>
      <c r="AM13" s="24">
        <f t="shared" si="8"/>
        <v>3439</v>
      </c>
      <c r="AN13" s="30">
        <v>3314.0</v>
      </c>
      <c r="AO13" s="31">
        <v>125.0</v>
      </c>
      <c r="AP13" s="24">
        <f t="shared" si="9"/>
        <v>3439</v>
      </c>
      <c r="AQ13" s="30">
        <v>2778.0</v>
      </c>
      <c r="AR13" s="30">
        <v>315.0</v>
      </c>
      <c r="AS13" s="30">
        <v>16.0</v>
      </c>
      <c r="AT13" s="30">
        <v>14.0</v>
      </c>
      <c r="AU13" s="31">
        <v>316.0</v>
      </c>
      <c r="AV13" s="24">
        <f t="shared" si="10"/>
        <v>3439</v>
      </c>
      <c r="AW13" s="29">
        <f t="shared" si="11"/>
        <v>316</v>
      </c>
      <c r="AX13" s="30">
        <v>2948.0</v>
      </c>
      <c r="AY13" s="31">
        <v>175.0</v>
      </c>
      <c r="AZ13" s="24">
        <f t="shared" si="12"/>
        <v>3439</v>
      </c>
      <c r="BA13" s="30">
        <v>1193.0</v>
      </c>
      <c r="BB13" s="30">
        <v>0.0</v>
      </c>
      <c r="BC13" s="30">
        <v>24.0</v>
      </c>
      <c r="BD13" s="30">
        <v>0.0</v>
      </c>
      <c r="BE13" s="30">
        <v>0.0</v>
      </c>
      <c r="BF13" s="30">
        <v>93.0</v>
      </c>
      <c r="BG13" s="30">
        <v>278.0</v>
      </c>
      <c r="BH13" s="31">
        <v>194.0</v>
      </c>
      <c r="BI13" s="24">
        <f t="shared" si="13"/>
        <v>1782</v>
      </c>
      <c r="BJ13" s="36">
        <v>312.0</v>
      </c>
      <c r="BK13" s="36">
        <v>315.0</v>
      </c>
      <c r="BL13" s="36">
        <v>233.0</v>
      </c>
      <c r="BM13" s="36">
        <v>14.0</v>
      </c>
      <c r="BN13" s="36">
        <v>694.0</v>
      </c>
      <c r="BO13" s="36">
        <v>0.0</v>
      </c>
      <c r="BP13" s="37">
        <v>214.0</v>
      </c>
      <c r="BQ13" s="38">
        <f t="shared" si="14"/>
        <v>1782</v>
      </c>
      <c r="BR13" s="39">
        <v>127.0</v>
      </c>
      <c r="BS13" s="36">
        <v>34.0</v>
      </c>
      <c r="BT13" s="37">
        <v>3278.0</v>
      </c>
      <c r="BU13" s="38">
        <f t="shared" si="15"/>
        <v>3439</v>
      </c>
    </row>
    <row r="14" ht="21.0" customHeight="1">
      <c r="A14" s="24" t="s">
        <v>47</v>
      </c>
      <c r="B14" s="40">
        <f t="shared" ref="B14:BU14" si="16">SUM(B2:B13)</f>
        <v>24058</v>
      </c>
      <c r="C14" s="41">
        <f t="shared" si="16"/>
        <v>1281</v>
      </c>
      <c r="D14" s="41">
        <f t="shared" si="16"/>
        <v>325</v>
      </c>
      <c r="E14" s="42">
        <f t="shared" si="16"/>
        <v>25664</v>
      </c>
      <c r="F14" s="41">
        <f t="shared" si="16"/>
        <v>3901</v>
      </c>
      <c r="G14" s="41">
        <f t="shared" si="16"/>
        <v>3495</v>
      </c>
      <c r="H14" s="41">
        <f t="shared" si="16"/>
        <v>3473</v>
      </c>
      <c r="I14" s="41">
        <f t="shared" si="16"/>
        <v>3489</v>
      </c>
      <c r="J14" s="41">
        <f t="shared" si="16"/>
        <v>3487</v>
      </c>
      <c r="K14" s="41">
        <f t="shared" si="16"/>
        <v>3990</v>
      </c>
      <c r="L14" s="41">
        <f t="shared" si="16"/>
        <v>3829</v>
      </c>
      <c r="M14" s="24">
        <f t="shared" si="16"/>
        <v>25664</v>
      </c>
      <c r="N14" s="41">
        <f t="shared" si="16"/>
        <v>15626</v>
      </c>
      <c r="O14" s="41">
        <f t="shared" si="16"/>
        <v>10038</v>
      </c>
      <c r="P14" s="24">
        <f t="shared" si="16"/>
        <v>25664</v>
      </c>
      <c r="Q14" s="41">
        <f t="shared" si="16"/>
        <v>15389</v>
      </c>
      <c r="R14" s="43">
        <f t="shared" si="16"/>
        <v>10275</v>
      </c>
      <c r="S14" s="24">
        <f t="shared" si="16"/>
        <v>25664</v>
      </c>
      <c r="T14" s="41">
        <f t="shared" si="16"/>
        <v>16782</v>
      </c>
      <c r="U14" s="41">
        <f t="shared" si="16"/>
        <v>11918</v>
      </c>
      <c r="V14" s="41">
        <f t="shared" si="16"/>
        <v>145</v>
      </c>
      <c r="W14" s="41">
        <f t="shared" si="16"/>
        <v>5564</v>
      </c>
      <c r="X14" s="41">
        <f t="shared" si="16"/>
        <v>7387</v>
      </c>
      <c r="Y14" s="41">
        <f t="shared" si="16"/>
        <v>98</v>
      </c>
      <c r="Z14" s="41">
        <f t="shared" si="16"/>
        <v>1640</v>
      </c>
      <c r="AA14" s="24">
        <f t="shared" si="16"/>
        <v>43534</v>
      </c>
      <c r="AB14" s="24">
        <f t="shared" si="16"/>
        <v>11328</v>
      </c>
      <c r="AC14" s="41">
        <f t="shared" si="16"/>
        <v>12990</v>
      </c>
      <c r="AD14" s="41">
        <f t="shared" si="16"/>
        <v>13554</v>
      </c>
      <c r="AE14" s="41">
        <f t="shared" si="16"/>
        <v>3534</v>
      </c>
      <c r="AF14" s="41">
        <f t="shared" si="16"/>
        <v>2128</v>
      </c>
      <c r="AG14" s="24">
        <f t="shared" si="16"/>
        <v>43534</v>
      </c>
      <c r="AH14" s="41">
        <f t="shared" si="16"/>
        <v>28085</v>
      </c>
      <c r="AI14" s="41">
        <f t="shared" si="16"/>
        <v>15449</v>
      </c>
      <c r="AJ14" s="24">
        <f t="shared" si="16"/>
        <v>43534</v>
      </c>
      <c r="AK14" s="41">
        <f t="shared" si="16"/>
        <v>30312</v>
      </c>
      <c r="AL14" s="41">
        <f t="shared" si="16"/>
        <v>13222</v>
      </c>
      <c r="AM14" s="24">
        <f t="shared" si="16"/>
        <v>43534</v>
      </c>
      <c r="AN14" s="41">
        <f t="shared" si="16"/>
        <v>41298</v>
      </c>
      <c r="AO14" s="43">
        <f t="shared" si="16"/>
        <v>2236</v>
      </c>
      <c r="AP14" s="24">
        <f t="shared" si="16"/>
        <v>43534</v>
      </c>
      <c r="AQ14" s="41">
        <f t="shared" si="16"/>
        <v>34831</v>
      </c>
      <c r="AR14" s="41">
        <f t="shared" si="16"/>
        <v>6213</v>
      </c>
      <c r="AS14" s="41">
        <f t="shared" si="16"/>
        <v>175</v>
      </c>
      <c r="AT14" s="41">
        <f t="shared" si="16"/>
        <v>197</v>
      </c>
      <c r="AU14" s="43">
        <f t="shared" si="16"/>
        <v>2118</v>
      </c>
      <c r="AV14" s="24">
        <f t="shared" si="16"/>
        <v>43534</v>
      </c>
      <c r="AW14" s="40">
        <f t="shared" si="16"/>
        <v>2118</v>
      </c>
      <c r="AX14" s="41">
        <f t="shared" si="16"/>
        <v>38267</v>
      </c>
      <c r="AY14" s="43">
        <f t="shared" si="16"/>
        <v>3149</v>
      </c>
      <c r="AZ14" s="24">
        <f t="shared" si="16"/>
        <v>43534</v>
      </c>
      <c r="BA14" s="44">
        <f t="shared" si="16"/>
        <v>19230</v>
      </c>
      <c r="BB14" s="44">
        <f t="shared" si="16"/>
        <v>0</v>
      </c>
      <c r="BC14" s="44">
        <f t="shared" si="16"/>
        <v>276</v>
      </c>
      <c r="BD14" s="44">
        <f t="shared" si="16"/>
        <v>0</v>
      </c>
      <c r="BE14" s="44">
        <f t="shared" si="16"/>
        <v>23</v>
      </c>
      <c r="BF14" s="44">
        <f t="shared" si="16"/>
        <v>655</v>
      </c>
      <c r="BG14" s="44">
        <f t="shared" si="16"/>
        <v>3429</v>
      </c>
      <c r="BH14" s="44">
        <f t="shared" si="16"/>
        <v>2051</v>
      </c>
      <c r="BI14" s="24">
        <f t="shared" si="16"/>
        <v>25664</v>
      </c>
      <c r="BJ14" s="24">
        <f t="shared" si="16"/>
        <v>2565</v>
      </c>
      <c r="BK14" s="24">
        <f t="shared" si="16"/>
        <v>4129</v>
      </c>
      <c r="BL14" s="24">
        <f t="shared" si="16"/>
        <v>5450</v>
      </c>
      <c r="BM14" s="24">
        <f t="shared" si="16"/>
        <v>113</v>
      </c>
      <c r="BN14" s="24">
        <f t="shared" si="16"/>
        <v>10617</v>
      </c>
      <c r="BO14" s="24">
        <f t="shared" si="16"/>
        <v>1</v>
      </c>
      <c r="BP14" s="24">
        <f t="shared" si="16"/>
        <v>2789</v>
      </c>
      <c r="BQ14" s="24">
        <f t="shared" si="16"/>
        <v>25664</v>
      </c>
      <c r="BR14" s="42">
        <f t="shared" si="16"/>
        <v>1513</v>
      </c>
      <c r="BS14" s="24">
        <f t="shared" si="16"/>
        <v>397</v>
      </c>
      <c r="BT14" s="24">
        <f t="shared" si="16"/>
        <v>41569</v>
      </c>
      <c r="BU14" s="24">
        <f t="shared" si="16"/>
        <v>43479</v>
      </c>
    </row>
    <row r="15" ht="12.75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3" width="8.0"/>
  </cols>
  <sheetData>
    <row r="1" ht="124.5" customHeight="1">
      <c r="A1" s="2" t="s">
        <v>1</v>
      </c>
      <c r="B1" s="3" t="s">
        <v>2</v>
      </c>
      <c r="C1" s="3" t="s">
        <v>3</v>
      </c>
      <c r="D1" s="4" t="s">
        <v>4</v>
      </c>
      <c r="E1" s="5" t="s">
        <v>5</v>
      </c>
      <c r="F1" s="2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6" t="s">
        <v>13</v>
      </c>
      <c r="N1" s="2" t="s">
        <v>14</v>
      </c>
      <c r="O1" s="3" t="s">
        <v>15</v>
      </c>
      <c r="P1" s="6" t="s">
        <v>16</v>
      </c>
      <c r="Q1" s="2" t="s">
        <v>17</v>
      </c>
      <c r="R1" s="3" t="s">
        <v>18</v>
      </c>
      <c r="S1" s="6" t="s">
        <v>19</v>
      </c>
      <c r="T1" s="2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6" t="s">
        <v>27</v>
      </c>
      <c r="AB1" s="2">
        <v>-18.0</v>
      </c>
      <c r="AC1" s="3" t="s">
        <v>28</v>
      </c>
      <c r="AD1" s="3" t="s">
        <v>29</v>
      </c>
      <c r="AE1" s="3" t="s">
        <v>30</v>
      </c>
      <c r="AF1" s="3" t="s">
        <v>31</v>
      </c>
      <c r="AG1" s="6" t="s">
        <v>32</v>
      </c>
      <c r="AH1" s="2" t="s">
        <v>33</v>
      </c>
      <c r="AI1" s="3" t="s">
        <v>34</v>
      </c>
      <c r="AJ1" s="6" t="s">
        <v>35</v>
      </c>
      <c r="AK1" s="2" t="s">
        <v>36</v>
      </c>
      <c r="AL1" s="3" t="s">
        <v>37</v>
      </c>
      <c r="AM1" s="6" t="s">
        <v>38</v>
      </c>
      <c r="AN1" s="2" t="s">
        <v>39</v>
      </c>
      <c r="AO1" s="3" t="s">
        <v>40</v>
      </c>
      <c r="AP1" s="6" t="s">
        <v>41</v>
      </c>
      <c r="AQ1" s="2" t="s">
        <v>42</v>
      </c>
      <c r="AR1" s="3" t="s">
        <v>43</v>
      </c>
      <c r="AS1" s="3" t="s">
        <v>44</v>
      </c>
      <c r="AT1" s="3" t="s">
        <v>45</v>
      </c>
      <c r="AU1" s="7" t="s">
        <v>46</v>
      </c>
      <c r="AV1" s="8" t="s">
        <v>47</v>
      </c>
      <c r="AW1" s="9" t="s">
        <v>46</v>
      </c>
      <c r="AX1" s="3" t="s">
        <v>48</v>
      </c>
      <c r="AY1" s="3" t="s">
        <v>49</v>
      </c>
      <c r="AZ1" s="10" t="s">
        <v>47</v>
      </c>
      <c r="BA1" s="11" t="s">
        <v>50</v>
      </c>
      <c r="BB1" s="12" t="s">
        <v>51</v>
      </c>
      <c r="BC1" s="12" t="s">
        <v>52</v>
      </c>
      <c r="BD1" s="12" t="s">
        <v>53</v>
      </c>
      <c r="BE1" s="13" t="s">
        <v>54</v>
      </c>
      <c r="BF1" s="14" t="s">
        <v>55</v>
      </c>
      <c r="BG1" s="14" t="s">
        <v>56</v>
      </c>
      <c r="BH1" s="15" t="s">
        <v>57</v>
      </c>
      <c r="BI1" s="16" t="s">
        <v>47</v>
      </c>
      <c r="BJ1" s="16" t="s">
        <v>58</v>
      </c>
      <c r="BK1" s="17" t="s">
        <v>59</v>
      </c>
      <c r="BL1" s="18" t="s">
        <v>60</v>
      </c>
      <c r="BM1" s="18" t="s">
        <v>61</v>
      </c>
      <c r="BN1" s="18" t="s">
        <v>62</v>
      </c>
      <c r="BO1" s="18" t="s">
        <v>63</v>
      </c>
      <c r="BP1" s="18" t="s">
        <v>26</v>
      </c>
      <c r="BQ1" s="19" t="s">
        <v>64</v>
      </c>
      <c r="BR1" s="20" t="s">
        <v>65</v>
      </c>
      <c r="BS1" s="21" t="s">
        <v>66</v>
      </c>
      <c r="BT1" s="18" t="s">
        <v>67</v>
      </c>
      <c r="BU1" s="22" t="s">
        <v>68</v>
      </c>
    </row>
    <row r="2" ht="21.0" customHeight="1">
      <c r="A2" s="24" t="s">
        <v>69</v>
      </c>
      <c r="B2" s="25">
        <v>314.0</v>
      </c>
      <c r="C2" s="26">
        <v>55.0</v>
      </c>
      <c r="D2" s="27">
        <v>4.0</v>
      </c>
      <c r="E2" s="28">
        <f t="shared" ref="E2:E13" si="1">SUM(B2:D2)</f>
        <v>373</v>
      </c>
      <c r="F2" s="26">
        <v>42.0</v>
      </c>
      <c r="G2" s="26">
        <v>63.0</v>
      </c>
      <c r="H2" s="26">
        <v>60.0</v>
      </c>
      <c r="I2" s="26">
        <v>52.0</v>
      </c>
      <c r="J2" s="26">
        <v>68.0</v>
      </c>
      <c r="K2" s="26">
        <v>59.0</v>
      </c>
      <c r="L2" s="27">
        <v>29.0</v>
      </c>
      <c r="M2" s="24">
        <f t="shared" ref="M2:M14" si="2">F2+G2+H2+I2+J2+K2+L2</f>
        <v>373</v>
      </c>
      <c r="N2" s="26">
        <v>267.0</v>
      </c>
      <c r="O2" s="27">
        <v>106.0</v>
      </c>
      <c r="P2" s="24">
        <f t="shared" ref="P2:P13" si="3">SUM(N2:O2)</f>
        <v>373</v>
      </c>
      <c r="Q2" s="26">
        <v>284.0</v>
      </c>
      <c r="R2" s="27">
        <v>89.0</v>
      </c>
      <c r="S2" s="24">
        <f t="shared" ref="S2:S13" si="4">SUM(Q2:R2)</f>
        <v>373</v>
      </c>
      <c r="T2" s="26">
        <v>361.0</v>
      </c>
      <c r="U2" s="26">
        <v>110.0</v>
      </c>
      <c r="V2" s="26">
        <v>7.0</v>
      </c>
      <c r="W2" s="26">
        <v>161.0</v>
      </c>
      <c r="X2" s="26">
        <v>34.0</v>
      </c>
      <c r="Y2" s="26">
        <v>2.0</v>
      </c>
      <c r="Z2" s="27">
        <v>4.0</v>
      </c>
      <c r="AA2" s="24">
        <f t="shared" ref="AA2:AA13" si="5">SUM(T2:Z2)</f>
        <v>679</v>
      </c>
      <c r="AB2" s="26">
        <v>22.0</v>
      </c>
      <c r="AC2" s="26">
        <v>321.0</v>
      </c>
      <c r="AD2" s="26">
        <v>248.0</v>
      </c>
      <c r="AE2" s="26">
        <v>65.0</v>
      </c>
      <c r="AF2" s="26">
        <v>23.0</v>
      </c>
      <c r="AG2" s="24">
        <f t="shared" ref="AG2:AG13" si="6">SUM(AB2:AF2)</f>
        <v>679</v>
      </c>
      <c r="AH2" s="26">
        <v>528.0</v>
      </c>
      <c r="AI2" s="26">
        <v>151.0</v>
      </c>
      <c r="AJ2" s="24">
        <f t="shared" ref="AJ2:AJ13" si="7">SUM(AH2:AI2)</f>
        <v>679</v>
      </c>
      <c r="AK2" s="26">
        <v>399.0</v>
      </c>
      <c r="AL2" s="26">
        <v>280.0</v>
      </c>
      <c r="AM2" s="24">
        <f t="shared" ref="AM2:AM13" si="8">SUM(AK2:AL2)</f>
        <v>679</v>
      </c>
      <c r="AN2" s="26">
        <v>675.0</v>
      </c>
      <c r="AO2" s="27">
        <v>4.0</v>
      </c>
      <c r="AP2" s="24">
        <f t="shared" ref="AP2:AP13" si="9">SUM(AN2:AO2)</f>
        <v>679</v>
      </c>
      <c r="AQ2" s="26">
        <v>578.0</v>
      </c>
      <c r="AR2" s="26">
        <v>44.0</v>
      </c>
      <c r="AS2" s="26">
        <v>0.0</v>
      </c>
      <c r="AT2" s="26">
        <v>0.0</v>
      </c>
      <c r="AU2" s="27">
        <v>57.0</v>
      </c>
      <c r="AV2" s="24">
        <f>+AQ2+AR2+AS2+AT2+AU2</f>
        <v>679</v>
      </c>
      <c r="AW2" s="29">
        <f t="shared" ref="AW2:AW13" si="10">AU2</f>
        <v>57</v>
      </c>
      <c r="AX2" s="26">
        <v>613.0</v>
      </c>
      <c r="AY2" s="27">
        <v>9.0</v>
      </c>
      <c r="AZ2" s="24">
        <f t="shared" ref="AZ2:AZ13" si="11">SUM(AW2:AY2)</f>
        <v>679</v>
      </c>
      <c r="BA2" s="30">
        <v>301.0</v>
      </c>
      <c r="BB2" s="30">
        <v>38.0</v>
      </c>
      <c r="BC2" s="30">
        <v>3.0</v>
      </c>
      <c r="BD2" s="30">
        <v>1.0</v>
      </c>
      <c r="BE2" s="30">
        <v>3.0</v>
      </c>
      <c r="BF2" s="30">
        <v>19.0</v>
      </c>
      <c r="BG2" s="30">
        <v>8.0</v>
      </c>
      <c r="BH2" s="31">
        <v>0.0</v>
      </c>
      <c r="BI2" s="24">
        <f t="shared" ref="BI2:BI13" si="12">SUM(BA2:BH2)</f>
        <v>373</v>
      </c>
      <c r="BJ2" s="30">
        <v>0.0</v>
      </c>
      <c r="BK2" s="30">
        <v>2.0</v>
      </c>
      <c r="BL2" s="30">
        <v>5.0</v>
      </c>
      <c r="BM2" s="30">
        <v>0.0</v>
      </c>
      <c r="BN2" s="30">
        <v>48.0</v>
      </c>
      <c r="BO2" s="30">
        <v>0.0</v>
      </c>
      <c r="BP2" s="31">
        <v>318.0</v>
      </c>
      <c r="BQ2" s="24">
        <f t="shared" ref="BQ2:BQ13" si="13">SUM(BJ2:BP2)</f>
        <v>373</v>
      </c>
      <c r="BR2" s="32">
        <v>104.0</v>
      </c>
      <c r="BS2" s="30">
        <v>5.0</v>
      </c>
      <c r="BT2" s="31">
        <v>712.0</v>
      </c>
      <c r="BU2" s="24">
        <f t="shared" ref="BU2:BU13" si="14">SUM(BR2:BT2)</f>
        <v>821</v>
      </c>
    </row>
    <row r="3" ht="21.0" customHeight="1">
      <c r="A3" s="24" t="s">
        <v>70</v>
      </c>
      <c r="B3" s="33">
        <v>462.0</v>
      </c>
      <c r="C3" s="30">
        <v>65.0</v>
      </c>
      <c r="D3" s="31">
        <v>11.0</v>
      </c>
      <c r="E3" s="28">
        <f t="shared" si="1"/>
        <v>538</v>
      </c>
      <c r="F3" s="30">
        <v>61.0</v>
      </c>
      <c r="G3" s="30">
        <v>99.0</v>
      </c>
      <c r="H3" s="30">
        <v>69.0</v>
      </c>
      <c r="I3" s="30">
        <v>84.0</v>
      </c>
      <c r="J3" s="30">
        <v>82.0</v>
      </c>
      <c r="K3" s="30">
        <v>92.0</v>
      </c>
      <c r="L3" s="31">
        <v>51.0</v>
      </c>
      <c r="M3" s="24">
        <f t="shared" si="2"/>
        <v>538</v>
      </c>
      <c r="N3" s="30">
        <v>391.0</v>
      </c>
      <c r="O3" s="31">
        <v>147.0</v>
      </c>
      <c r="P3" s="24">
        <f t="shared" si="3"/>
        <v>538</v>
      </c>
      <c r="Q3" s="30">
        <v>408.0</v>
      </c>
      <c r="R3" s="31">
        <v>130.0</v>
      </c>
      <c r="S3" s="24">
        <f t="shared" si="4"/>
        <v>538</v>
      </c>
      <c r="T3" s="30">
        <v>510.0</v>
      </c>
      <c r="U3" s="30">
        <v>156.0</v>
      </c>
      <c r="V3" s="30">
        <v>16.0</v>
      </c>
      <c r="W3" s="30">
        <v>254.0</v>
      </c>
      <c r="X3" s="30">
        <v>31.0</v>
      </c>
      <c r="Y3" s="30">
        <v>8.0</v>
      </c>
      <c r="Z3" s="31">
        <v>11.0</v>
      </c>
      <c r="AA3" s="24">
        <f t="shared" si="5"/>
        <v>986</v>
      </c>
      <c r="AB3" s="30">
        <v>22.0</v>
      </c>
      <c r="AC3" s="30">
        <v>467.0</v>
      </c>
      <c r="AD3" s="30">
        <v>335.0</v>
      </c>
      <c r="AE3" s="30">
        <v>124.0</v>
      </c>
      <c r="AF3" s="30">
        <v>30.0</v>
      </c>
      <c r="AG3" s="24">
        <f t="shared" si="6"/>
        <v>978</v>
      </c>
      <c r="AH3" s="30">
        <v>777.0</v>
      </c>
      <c r="AI3" s="30">
        <v>201.0</v>
      </c>
      <c r="AJ3" s="24">
        <f t="shared" si="7"/>
        <v>978</v>
      </c>
      <c r="AK3" s="30">
        <v>669.0</v>
      </c>
      <c r="AL3" s="30">
        <v>309.0</v>
      </c>
      <c r="AM3" s="24">
        <f t="shared" si="8"/>
        <v>978</v>
      </c>
      <c r="AN3" s="30">
        <v>973.0</v>
      </c>
      <c r="AO3" s="31">
        <v>5.0</v>
      </c>
      <c r="AP3" s="24">
        <f t="shared" si="9"/>
        <v>978</v>
      </c>
      <c r="AQ3" s="30">
        <v>792.0</v>
      </c>
      <c r="AR3" s="30">
        <v>92.0</v>
      </c>
      <c r="AS3" s="30">
        <v>0.0</v>
      </c>
      <c r="AT3" s="30">
        <v>0.0</v>
      </c>
      <c r="AU3" s="31">
        <v>94.0</v>
      </c>
      <c r="AV3" s="24">
        <f t="shared" ref="AV3:AV13" si="15">SUM(AQ3:AU3)</f>
        <v>978</v>
      </c>
      <c r="AW3" s="29">
        <f t="shared" si="10"/>
        <v>94</v>
      </c>
      <c r="AX3" s="30">
        <v>875.0</v>
      </c>
      <c r="AY3" s="31">
        <v>9.0</v>
      </c>
      <c r="AZ3" s="24">
        <f t="shared" si="11"/>
        <v>978</v>
      </c>
      <c r="BA3" s="30">
        <v>444.0</v>
      </c>
      <c r="BB3" s="30">
        <v>41.0</v>
      </c>
      <c r="BC3" s="30">
        <v>11.0</v>
      </c>
      <c r="BD3" s="30">
        <v>3.0</v>
      </c>
      <c r="BE3" s="30">
        <v>0.0</v>
      </c>
      <c r="BF3" s="30">
        <v>21.0</v>
      </c>
      <c r="BG3" s="30">
        <v>18.0</v>
      </c>
      <c r="BH3" s="31">
        <v>0.0</v>
      </c>
      <c r="BI3" s="24">
        <f t="shared" si="12"/>
        <v>538</v>
      </c>
      <c r="BJ3" s="30">
        <v>2.0</v>
      </c>
      <c r="BK3" s="30">
        <v>12.0</v>
      </c>
      <c r="BL3" s="30">
        <v>29.0</v>
      </c>
      <c r="BM3" s="30">
        <v>14.0</v>
      </c>
      <c r="BN3" s="30">
        <v>144.0</v>
      </c>
      <c r="BO3" s="30">
        <v>0.0</v>
      </c>
      <c r="BP3" s="31">
        <v>337.0</v>
      </c>
      <c r="BQ3" s="24">
        <f t="shared" si="13"/>
        <v>538</v>
      </c>
      <c r="BR3" s="32">
        <v>136.0</v>
      </c>
      <c r="BS3" s="30">
        <v>15.0</v>
      </c>
      <c r="BT3" s="31">
        <v>1021.0</v>
      </c>
      <c r="BU3" s="24">
        <f t="shared" si="14"/>
        <v>1172</v>
      </c>
    </row>
    <row r="4" ht="21.0" customHeight="1">
      <c r="A4" s="24" t="s">
        <v>71</v>
      </c>
      <c r="B4" s="33">
        <v>360.0</v>
      </c>
      <c r="C4" s="30">
        <v>48.0</v>
      </c>
      <c r="D4" s="31">
        <v>11.0</v>
      </c>
      <c r="E4" s="28">
        <f t="shared" si="1"/>
        <v>419</v>
      </c>
      <c r="F4" s="30">
        <v>47.0</v>
      </c>
      <c r="G4" s="30">
        <v>62.0</v>
      </c>
      <c r="H4" s="30">
        <v>63.0</v>
      </c>
      <c r="I4" s="30">
        <v>52.0</v>
      </c>
      <c r="J4" s="30">
        <v>81.0</v>
      </c>
      <c r="K4" s="30">
        <v>78.0</v>
      </c>
      <c r="L4" s="31">
        <v>36.0</v>
      </c>
      <c r="M4" s="24">
        <f t="shared" si="2"/>
        <v>419</v>
      </c>
      <c r="N4" s="30">
        <v>309.0</v>
      </c>
      <c r="O4" s="31">
        <v>110.0</v>
      </c>
      <c r="P4" s="24">
        <f t="shared" si="3"/>
        <v>419</v>
      </c>
      <c r="Q4" s="30">
        <v>314.0</v>
      </c>
      <c r="R4" s="31">
        <v>105.0</v>
      </c>
      <c r="S4" s="24">
        <f t="shared" si="4"/>
        <v>419</v>
      </c>
      <c r="T4" s="30">
        <v>373.0</v>
      </c>
      <c r="U4" s="30">
        <v>137.0</v>
      </c>
      <c r="V4" s="30">
        <v>5.0</v>
      </c>
      <c r="W4" s="30">
        <v>188.0</v>
      </c>
      <c r="X4" s="30">
        <v>19.0</v>
      </c>
      <c r="Y4" s="30">
        <v>5.0</v>
      </c>
      <c r="Z4" s="31">
        <v>1.0</v>
      </c>
      <c r="AA4" s="24">
        <f t="shared" si="5"/>
        <v>728</v>
      </c>
      <c r="AB4" s="30">
        <v>29.0</v>
      </c>
      <c r="AC4" s="30">
        <v>334.0</v>
      </c>
      <c r="AD4" s="30">
        <v>246.0</v>
      </c>
      <c r="AE4" s="30">
        <v>84.0</v>
      </c>
      <c r="AF4" s="30">
        <v>30.0</v>
      </c>
      <c r="AG4" s="24">
        <f t="shared" si="6"/>
        <v>723</v>
      </c>
      <c r="AH4" s="30">
        <v>586.0</v>
      </c>
      <c r="AI4" s="30">
        <v>137.0</v>
      </c>
      <c r="AJ4" s="24">
        <f t="shared" si="7"/>
        <v>723</v>
      </c>
      <c r="AK4" s="30">
        <v>533.0</v>
      </c>
      <c r="AL4" s="30">
        <v>190.0</v>
      </c>
      <c r="AM4" s="24">
        <f t="shared" si="8"/>
        <v>723</v>
      </c>
      <c r="AN4" s="30">
        <v>704.0</v>
      </c>
      <c r="AO4" s="31">
        <v>19.0</v>
      </c>
      <c r="AP4" s="24">
        <f t="shared" si="9"/>
        <v>723</v>
      </c>
      <c r="AQ4" s="30">
        <v>590.0</v>
      </c>
      <c r="AR4" s="30">
        <v>55.0</v>
      </c>
      <c r="AS4" s="30">
        <v>0.0</v>
      </c>
      <c r="AT4" s="30">
        <v>0.0</v>
      </c>
      <c r="AU4" s="31">
        <v>78.0</v>
      </c>
      <c r="AV4" s="24">
        <f t="shared" si="15"/>
        <v>723</v>
      </c>
      <c r="AW4" s="102">
        <f t="shared" si="10"/>
        <v>78</v>
      </c>
      <c r="AX4" s="30">
        <v>640.0</v>
      </c>
      <c r="AY4" s="31">
        <v>5.0</v>
      </c>
      <c r="AZ4" s="24">
        <f t="shared" si="11"/>
        <v>723</v>
      </c>
      <c r="BA4" s="30">
        <v>309.0</v>
      </c>
      <c r="BB4" s="30">
        <v>49.0</v>
      </c>
      <c r="BC4" s="30">
        <v>3.0</v>
      </c>
      <c r="BD4" s="30">
        <v>0.0</v>
      </c>
      <c r="BE4" s="30">
        <v>0.0</v>
      </c>
      <c r="BF4" s="30">
        <v>27.0</v>
      </c>
      <c r="BG4" s="30">
        <v>15.0</v>
      </c>
      <c r="BH4" s="31">
        <v>16.0</v>
      </c>
      <c r="BI4" s="24">
        <f t="shared" si="12"/>
        <v>419</v>
      </c>
      <c r="BJ4" s="30">
        <v>5.0</v>
      </c>
      <c r="BK4" s="30">
        <v>6.0</v>
      </c>
      <c r="BL4" s="30">
        <v>11.0</v>
      </c>
      <c r="BM4" s="30">
        <v>4.0</v>
      </c>
      <c r="BN4" s="30">
        <v>117.0</v>
      </c>
      <c r="BO4" s="30">
        <v>0.0</v>
      </c>
      <c r="BP4" s="31">
        <v>276.0</v>
      </c>
      <c r="BQ4" s="24">
        <f t="shared" si="13"/>
        <v>419</v>
      </c>
      <c r="BR4" s="32">
        <v>107.0</v>
      </c>
      <c r="BS4" s="30">
        <v>15.0</v>
      </c>
      <c r="BT4" s="31">
        <v>759.0</v>
      </c>
      <c r="BU4" s="24">
        <f t="shared" si="14"/>
        <v>881</v>
      </c>
    </row>
    <row r="5" ht="21.0" customHeight="1">
      <c r="A5" s="24" t="s">
        <v>72</v>
      </c>
      <c r="B5" s="33">
        <v>304.0</v>
      </c>
      <c r="C5" s="30">
        <v>32.0</v>
      </c>
      <c r="D5" s="31">
        <v>8.0</v>
      </c>
      <c r="E5" s="28">
        <f t="shared" si="1"/>
        <v>344</v>
      </c>
      <c r="F5" s="30">
        <v>42.0</v>
      </c>
      <c r="G5" s="30">
        <v>49.0</v>
      </c>
      <c r="H5" s="30">
        <v>48.0</v>
      </c>
      <c r="I5" s="30">
        <v>57.0</v>
      </c>
      <c r="J5" s="30">
        <v>55.0</v>
      </c>
      <c r="K5" s="30">
        <v>56.0</v>
      </c>
      <c r="L5" s="31">
        <v>37.0</v>
      </c>
      <c r="M5" s="24">
        <f t="shared" si="2"/>
        <v>344</v>
      </c>
      <c r="N5" s="30">
        <v>265.0</v>
      </c>
      <c r="O5" s="31">
        <v>79.0</v>
      </c>
      <c r="P5" s="24">
        <f t="shared" si="3"/>
        <v>344</v>
      </c>
      <c r="Q5" s="30">
        <v>244.0</v>
      </c>
      <c r="R5" s="31">
        <v>100.0</v>
      </c>
      <c r="S5" s="24">
        <f t="shared" si="4"/>
        <v>344</v>
      </c>
      <c r="T5" s="30">
        <v>306.0</v>
      </c>
      <c r="U5" s="30">
        <v>88.0</v>
      </c>
      <c r="V5" s="30">
        <v>5.0</v>
      </c>
      <c r="W5" s="30">
        <v>187.0</v>
      </c>
      <c r="X5" s="30">
        <v>9.0</v>
      </c>
      <c r="Y5" s="30">
        <v>6.0</v>
      </c>
      <c r="Z5" s="31">
        <v>4.0</v>
      </c>
      <c r="AA5" s="24">
        <f t="shared" si="5"/>
        <v>605</v>
      </c>
      <c r="AB5" s="30">
        <v>10.0</v>
      </c>
      <c r="AC5" s="30">
        <v>266.0</v>
      </c>
      <c r="AD5" s="30">
        <v>226.0</v>
      </c>
      <c r="AE5" s="30">
        <v>72.0</v>
      </c>
      <c r="AF5" s="30">
        <v>19.0</v>
      </c>
      <c r="AG5" s="24">
        <f t="shared" si="6"/>
        <v>593</v>
      </c>
      <c r="AH5" s="30">
        <v>466.0</v>
      </c>
      <c r="AI5" s="30">
        <v>127.0</v>
      </c>
      <c r="AJ5" s="24">
        <f t="shared" si="7"/>
        <v>593</v>
      </c>
      <c r="AK5" s="30">
        <v>452.0</v>
      </c>
      <c r="AL5" s="30">
        <v>141.0</v>
      </c>
      <c r="AM5" s="24">
        <f t="shared" si="8"/>
        <v>593</v>
      </c>
      <c r="AN5" s="30">
        <v>585.0</v>
      </c>
      <c r="AO5" s="31">
        <v>8.0</v>
      </c>
      <c r="AP5" s="24">
        <f t="shared" si="9"/>
        <v>593</v>
      </c>
      <c r="AQ5" s="30">
        <v>511.0</v>
      </c>
      <c r="AR5" s="30">
        <v>33.0</v>
      </c>
      <c r="AS5" s="30">
        <v>1.0</v>
      </c>
      <c r="AT5" s="30">
        <v>0.0</v>
      </c>
      <c r="AU5" s="31">
        <v>48.0</v>
      </c>
      <c r="AV5" s="24">
        <f t="shared" si="15"/>
        <v>593</v>
      </c>
      <c r="AW5" s="29">
        <f t="shared" si="10"/>
        <v>48</v>
      </c>
      <c r="AX5" s="30">
        <v>539.0</v>
      </c>
      <c r="AY5" s="31">
        <v>6.0</v>
      </c>
      <c r="AZ5" s="24">
        <f t="shared" si="11"/>
        <v>593</v>
      </c>
      <c r="BA5" s="30">
        <v>249.0</v>
      </c>
      <c r="BB5" s="30">
        <v>40.0</v>
      </c>
      <c r="BC5" s="30">
        <v>5.0</v>
      </c>
      <c r="BD5" s="30">
        <v>1.0</v>
      </c>
      <c r="BE5" s="30">
        <v>1.0</v>
      </c>
      <c r="BF5" s="30">
        <v>20.0</v>
      </c>
      <c r="BG5" s="30">
        <v>28.0</v>
      </c>
      <c r="BH5" s="31">
        <v>0.0</v>
      </c>
      <c r="BI5" s="24">
        <f t="shared" si="12"/>
        <v>344</v>
      </c>
      <c r="BJ5" s="30">
        <v>2.0</v>
      </c>
      <c r="BK5" s="30">
        <v>5.0</v>
      </c>
      <c r="BL5" s="30">
        <v>9.0</v>
      </c>
      <c r="BM5" s="30">
        <v>1.0</v>
      </c>
      <c r="BN5" s="30">
        <v>74.0</v>
      </c>
      <c r="BO5" s="30">
        <v>0.0</v>
      </c>
      <c r="BP5" s="31">
        <v>253.0</v>
      </c>
      <c r="BQ5" s="24">
        <f t="shared" si="13"/>
        <v>344</v>
      </c>
      <c r="BR5" s="32">
        <v>74.0</v>
      </c>
      <c r="BS5" s="30">
        <v>9.0</v>
      </c>
      <c r="BT5" s="31">
        <v>630.0</v>
      </c>
      <c r="BU5" s="24">
        <f t="shared" si="14"/>
        <v>713</v>
      </c>
    </row>
    <row r="6" ht="21.0" customHeight="1">
      <c r="A6" s="34" t="s">
        <v>73</v>
      </c>
      <c r="B6" s="33">
        <v>375.0</v>
      </c>
      <c r="C6" s="30">
        <v>50.0</v>
      </c>
      <c r="D6" s="31">
        <v>15.0</v>
      </c>
      <c r="E6" s="28">
        <f t="shared" si="1"/>
        <v>440</v>
      </c>
      <c r="F6" s="30">
        <v>62.0</v>
      </c>
      <c r="G6" s="30">
        <v>53.0</v>
      </c>
      <c r="H6" s="30">
        <v>73.0</v>
      </c>
      <c r="I6" s="30">
        <v>71.0</v>
      </c>
      <c r="J6" s="30">
        <v>68.0</v>
      </c>
      <c r="K6" s="30">
        <v>69.0</v>
      </c>
      <c r="L6" s="31">
        <v>44.0</v>
      </c>
      <c r="M6" s="24">
        <f t="shared" si="2"/>
        <v>440</v>
      </c>
      <c r="N6" s="30">
        <v>327.0</v>
      </c>
      <c r="O6" s="31">
        <v>113.0</v>
      </c>
      <c r="P6" s="24">
        <f t="shared" si="3"/>
        <v>440</v>
      </c>
      <c r="Q6" s="30">
        <v>334.0</v>
      </c>
      <c r="R6" s="31">
        <v>106.0</v>
      </c>
      <c r="S6" s="24">
        <f t="shared" si="4"/>
        <v>440</v>
      </c>
      <c r="T6" s="30">
        <v>408.0</v>
      </c>
      <c r="U6" s="30">
        <v>139.0</v>
      </c>
      <c r="V6" s="30">
        <v>6.0</v>
      </c>
      <c r="W6" s="30">
        <v>217.0</v>
      </c>
      <c r="X6" s="30">
        <v>16.0</v>
      </c>
      <c r="Y6" s="30">
        <v>10.0</v>
      </c>
      <c r="Z6" s="31">
        <v>13.0</v>
      </c>
      <c r="AA6" s="24">
        <f t="shared" si="5"/>
        <v>809</v>
      </c>
      <c r="AB6" s="30">
        <v>39.0</v>
      </c>
      <c r="AC6" s="30">
        <v>344.0</v>
      </c>
      <c r="AD6" s="30">
        <v>269.0</v>
      </c>
      <c r="AE6" s="30">
        <v>103.0</v>
      </c>
      <c r="AF6" s="30">
        <v>37.0</v>
      </c>
      <c r="AG6" s="24">
        <f t="shared" si="6"/>
        <v>792</v>
      </c>
      <c r="AH6" s="30">
        <v>613.0</v>
      </c>
      <c r="AI6" s="30">
        <v>179.0</v>
      </c>
      <c r="AJ6" s="24">
        <f t="shared" si="7"/>
        <v>792</v>
      </c>
      <c r="AK6" s="30">
        <v>575.0</v>
      </c>
      <c r="AL6" s="30">
        <v>217.0</v>
      </c>
      <c r="AM6" s="24">
        <f t="shared" si="8"/>
        <v>792</v>
      </c>
      <c r="AN6" s="30">
        <v>783.0</v>
      </c>
      <c r="AO6" s="31">
        <v>9.0</v>
      </c>
      <c r="AP6" s="24">
        <f t="shared" si="9"/>
        <v>792</v>
      </c>
      <c r="AQ6" s="30">
        <v>633.0</v>
      </c>
      <c r="AR6" s="30">
        <v>68.0</v>
      </c>
      <c r="AS6" s="30">
        <v>0.0</v>
      </c>
      <c r="AT6" s="30">
        <v>0.0</v>
      </c>
      <c r="AU6" s="31">
        <v>91.0</v>
      </c>
      <c r="AV6" s="24">
        <f t="shared" si="15"/>
        <v>792</v>
      </c>
      <c r="AW6" s="29">
        <f t="shared" si="10"/>
        <v>91</v>
      </c>
      <c r="AX6" s="30">
        <v>701.0</v>
      </c>
      <c r="AY6" s="31">
        <v>0.0</v>
      </c>
      <c r="AZ6" s="24">
        <f t="shared" si="11"/>
        <v>792</v>
      </c>
      <c r="BA6" s="30">
        <v>354.0</v>
      </c>
      <c r="BB6" s="30">
        <v>43.0</v>
      </c>
      <c r="BC6" s="30">
        <v>4.0</v>
      </c>
      <c r="BD6" s="30">
        <v>2.0</v>
      </c>
      <c r="BE6" s="30">
        <v>0.0</v>
      </c>
      <c r="BF6" s="30">
        <v>14.0</v>
      </c>
      <c r="BG6" s="30">
        <v>23.0</v>
      </c>
      <c r="BH6" s="31">
        <v>0.0</v>
      </c>
      <c r="BI6" s="24">
        <f t="shared" si="12"/>
        <v>440</v>
      </c>
      <c r="BJ6" s="30">
        <v>1.0</v>
      </c>
      <c r="BK6" s="30">
        <v>15.0</v>
      </c>
      <c r="BL6" s="30">
        <v>22.0</v>
      </c>
      <c r="BM6" s="30">
        <v>4.0</v>
      </c>
      <c r="BN6" s="30">
        <v>128.0</v>
      </c>
      <c r="BO6" s="30">
        <v>0.0</v>
      </c>
      <c r="BP6" s="31">
        <v>270.0</v>
      </c>
      <c r="BQ6" s="24">
        <f t="shared" si="13"/>
        <v>440</v>
      </c>
      <c r="BR6" s="32">
        <v>118.0</v>
      </c>
      <c r="BS6" s="30">
        <v>17.0</v>
      </c>
      <c r="BT6" s="31">
        <v>870.0</v>
      </c>
      <c r="BU6" s="24">
        <f t="shared" si="14"/>
        <v>1005</v>
      </c>
    </row>
    <row r="7" ht="21.0" customHeight="1">
      <c r="A7" s="34" t="s">
        <v>74</v>
      </c>
      <c r="B7" s="33">
        <v>313.0</v>
      </c>
      <c r="C7" s="30">
        <v>41.0</v>
      </c>
      <c r="D7" s="31">
        <v>13.0</v>
      </c>
      <c r="E7" s="28">
        <f t="shared" si="1"/>
        <v>367</v>
      </c>
      <c r="F7" s="30">
        <v>48.0</v>
      </c>
      <c r="G7" s="30">
        <v>47.0</v>
      </c>
      <c r="H7" s="30">
        <v>52.0</v>
      </c>
      <c r="I7" s="30">
        <v>47.0</v>
      </c>
      <c r="J7" s="30">
        <v>59.0</v>
      </c>
      <c r="K7" s="30">
        <v>50.0</v>
      </c>
      <c r="L7" s="31">
        <v>64.0</v>
      </c>
      <c r="M7" s="24">
        <f t="shared" si="2"/>
        <v>367</v>
      </c>
      <c r="N7" s="30">
        <v>281.0</v>
      </c>
      <c r="O7" s="31">
        <v>86.0</v>
      </c>
      <c r="P7" s="24">
        <f t="shared" si="3"/>
        <v>367</v>
      </c>
      <c r="Q7" s="30">
        <v>284.0</v>
      </c>
      <c r="R7" s="31">
        <v>83.0</v>
      </c>
      <c r="S7" s="24">
        <f t="shared" si="4"/>
        <v>367</v>
      </c>
      <c r="T7" s="30">
        <v>335.0</v>
      </c>
      <c r="U7" s="30">
        <v>115.0</v>
      </c>
      <c r="V7" s="30">
        <v>1.0</v>
      </c>
      <c r="W7" s="30">
        <v>195.0</v>
      </c>
      <c r="X7" s="30">
        <v>16.0</v>
      </c>
      <c r="Y7" s="30">
        <v>4.0</v>
      </c>
      <c r="Z7" s="31">
        <v>13.0</v>
      </c>
      <c r="AA7" s="24">
        <f t="shared" si="5"/>
        <v>679</v>
      </c>
      <c r="AB7" s="30">
        <v>8.0</v>
      </c>
      <c r="AC7" s="30">
        <v>278.0</v>
      </c>
      <c r="AD7" s="30">
        <v>258.0</v>
      </c>
      <c r="AE7" s="30">
        <v>112.0</v>
      </c>
      <c r="AF7" s="30">
        <v>21.0</v>
      </c>
      <c r="AG7" s="24">
        <f t="shared" si="6"/>
        <v>677</v>
      </c>
      <c r="AH7" s="30">
        <v>532.0</v>
      </c>
      <c r="AI7" s="30">
        <v>145.0</v>
      </c>
      <c r="AJ7" s="24">
        <f t="shared" si="7"/>
        <v>677</v>
      </c>
      <c r="AK7" s="30">
        <v>467.0</v>
      </c>
      <c r="AL7" s="30">
        <v>210.0</v>
      </c>
      <c r="AM7" s="24">
        <f t="shared" si="8"/>
        <v>677</v>
      </c>
      <c r="AN7" s="30">
        <v>672.0</v>
      </c>
      <c r="AO7" s="31">
        <v>5.0</v>
      </c>
      <c r="AP7" s="24">
        <f t="shared" si="9"/>
        <v>677</v>
      </c>
      <c r="AQ7" s="30">
        <v>552.0</v>
      </c>
      <c r="AR7" s="30">
        <v>57.0</v>
      </c>
      <c r="AS7" s="30">
        <v>0.0</v>
      </c>
      <c r="AT7" s="30">
        <v>0.0</v>
      </c>
      <c r="AU7" s="31">
        <v>68.0</v>
      </c>
      <c r="AV7" s="24">
        <f t="shared" si="15"/>
        <v>677</v>
      </c>
      <c r="AW7" s="29">
        <f t="shared" si="10"/>
        <v>68</v>
      </c>
      <c r="AX7" s="30">
        <v>609.0</v>
      </c>
      <c r="AY7" s="31">
        <v>0.0</v>
      </c>
      <c r="AZ7" s="24">
        <f t="shared" si="11"/>
        <v>677</v>
      </c>
      <c r="BA7" s="30">
        <v>287.0</v>
      </c>
      <c r="BB7" s="30">
        <v>37.0</v>
      </c>
      <c r="BC7" s="30">
        <v>3.0</v>
      </c>
      <c r="BD7" s="30">
        <v>1.0</v>
      </c>
      <c r="BE7" s="30">
        <v>0.0</v>
      </c>
      <c r="BF7" s="30">
        <v>14.0</v>
      </c>
      <c r="BG7" s="30">
        <v>23.0</v>
      </c>
      <c r="BH7" s="31">
        <v>2.0</v>
      </c>
      <c r="BI7" s="24">
        <f t="shared" si="12"/>
        <v>367</v>
      </c>
      <c r="BJ7" s="30">
        <v>3.0</v>
      </c>
      <c r="BK7" s="30">
        <v>9.0</v>
      </c>
      <c r="BL7" s="30">
        <v>25.0</v>
      </c>
      <c r="BM7" s="30">
        <v>2.0</v>
      </c>
      <c r="BN7" s="30">
        <v>78.0</v>
      </c>
      <c r="BO7" s="30">
        <v>0.0</v>
      </c>
      <c r="BP7" s="31">
        <v>250.0</v>
      </c>
      <c r="BQ7" s="24">
        <f t="shared" si="13"/>
        <v>367</v>
      </c>
      <c r="BR7" s="32">
        <v>91.0</v>
      </c>
      <c r="BS7" s="30">
        <v>18.0</v>
      </c>
      <c r="BT7" s="31">
        <v>754.0</v>
      </c>
      <c r="BU7" s="24">
        <f t="shared" si="14"/>
        <v>863</v>
      </c>
    </row>
    <row r="8" ht="21.0" customHeight="1">
      <c r="A8" s="24" t="s">
        <v>75</v>
      </c>
      <c r="B8" s="33">
        <v>303.0</v>
      </c>
      <c r="C8" s="30">
        <v>72.0</v>
      </c>
      <c r="D8" s="31">
        <v>16.0</v>
      </c>
      <c r="E8" s="28">
        <f t="shared" si="1"/>
        <v>391</v>
      </c>
      <c r="F8" s="30">
        <v>42.0</v>
      </c>
      <c r="G8" s="30">
        <v>51.0</v>
      </c>
      <c r="H8" s="30">
        <v>72.0</v>
      </c>
      <c r="I8" s="30">
        <v>74.0</v>
      </c>
      <c r="J8" s="30">
        <v>50.0</v>
      </c>
      <c r="K8" s="30">
        <v>61.0</v>
      </c>
      <c r="L8" s="31">
        <v>41.0</v>
      </c>
      <c r="M8" s="24">
        <f t="shared" si="2"/>
        <v>391</v>
      </c>
      <c r="N8" s="30">
        <v>296.0</v>
      </c>
      <c r="O8" s="31">
        <v>95.0</v>
      </c>
      <c r="P8" s="24">
        <f t="shared" si="3"/>
        <v>391</v>
      </c>
      <c r="Q8" s="30">
        <v>280.0</v>
      </c>
      <c r="R8" s="31">
        <v>111.0</v>
      </c>
      <c r="S8" s="24">
        <f t="shared" si="4"/>
        <v>391</v>
      </c>
      <c r="T8" s="30">
        <v>344.0</v>
      </c>
      <c r="U8" s="30">
        <v>103.0</v>
      </c>
      <c r="V8" s="30">
        <v>20.0</v>
      </c>
      <c r="W8" s="30">
        <v>169.0</v>
      </c>
      <c r="X8" s="30">
        <v>33.0</v>
      </c>
      <c r="Y8" s="30">
        <v>3.0</v>
      </c>
      <c r="Z8" s="31">
        <v>5.0</v>
      </c>
      <c r="AA8" s="24">
        <f t="shared" si="5"/>
        <v>677</v>
      </c>
      <c r="AB8" s="30">
        <v>15.0</v>
      </c>
      <c r="AC8" s="30">
        <v>307.0</v>
      </c>
      <c r="AD8" s="30">
        <v>228.0</v>
      </c>
      <c r="AE8" s="30">
        <v>91.0</v>
      </c>
      <c r="AF8" s="30">
        <v>24.0</v>
      </c>
      <c r="AG8" s="24">
        <f t="shared" si="6"/>
        <v>665</v>
      </c>
      <c r="AH8" s="30">
        <v>542.0</v>
      </c>
      <c r="AI8" s="30">
        <v>123.0</v>
      </c>
      <c r="AJ8" s="24">
        <f t="shared" si="7"/>
        <v>665</v>
      </c>
      <c r="AK8" s="30">
        <v>420.0</v>
      </c>
      <c r="AL8" s="30">
        <v>245.0</v>
      </c>
      <c r="AM8" s="24">
        <f t="shared" si="8"/>
        <v>665</v>
      </c>
      <c r="AN8" s="30">
        <v>665.0</v>
      </c>
      <c r="AO8" s="31">
        <v>0.0</v>
      </c>
      <c r="AP8" s="24">
        <f t="shared" si="9"/>
        <v>665</v>
      </c>
      <c r="AQ8" s="30">
        <v>543.0</v>
      </c>
      <c r="AR8" s="30">
        <v>46.0</v>
      </c>
      <c r="AS8" s="30">
        <v>1.0</v>
      </c>
      <c r="AT8" s="30">
        <v>10.0</v>
      </c>
      <c r="AU8" s="31">
        <v>65.0</v>
      </c>
      <c r="AV8" s="24">
        <f t="shared" si="15"/>
        <v>665</v>
      </c>
      <c r="AW8" s="29">
        <f t="shared" si="10"/>
        <v>65</v>
      </c>
      <c r="AX8" s="30">
        <v>600.0</v>
      </c>
      <c r="AY8" s="31">
        <v>0.0</v>
      </c>
      <c r="AZ8" s="24">
        <f t="shared" si="11"/>
        <v>665</v>
      </c>
      <c r="BA8" s="30">
        <v>288.0</v>
      </c>
      <c r="BB8" s="30">
        <v>42.0</v>
      </c>
      <c r="BC8" s="30">
        <v>8.0</v>
      </c>
      <c r="BD8" s="30">
        <v>0.0</v>
      </c>
      <c r="BE8" s="30">
        <v>0.0</v>
      </c>
      <c r="BF8" s="30">
        <v>23.0</v>
      </c>
      <c r="BG8" s="30">
        <v>25.0</v>
      </c>
      <c r="BH8" s="31">
        <v>5.0</v>
      </c>
      <c r="BI8" s="101">
        <f t="shared" si="12"/>
        <v>391</v>
      </c>
      <c r="BJ8" s="30">
        <v>2.0</v>
      </c>
      <c r="BK8" s="30">
        <v>53.0</v>
      </c>
      <c r="BL8" s="30">
        <v>36.0</v>
      </c>
      <c r="BM8" s="30">
        <v>53.0</v>
      </c>
      <c r="BN8" s="30">
        <v>110.0</v>
      </c>
      <c r="BO8" s="30">
        <v>0.0</v>
      </c>
      <c r="BP8" s="31">
        <v>137.0</v>
      </c>
      <c r="BQ8" s="101">
        <f t="shared" si="13"/>
        <v>391</v>
      </c>
      <c r="BR8" s="32">
        <v>119.0</v>
      </c>
      <c r="BS8" s="30">
        <v>15.0</v>
      </c>
      <c r="BT8" s="31">
        <v>765.0</v>
      </c>
      <c r="BU8" s="24">
        <f t="shared" si="14"/>
        <v>899</v>
      </c>
    </row>
    <row r="9" ht="21.0" customHeight="1">
      <c r="A9" s="24" t="s">
        <v>76</v>
      </c>
      <c r="B9" s="33">
        <v>258.0</v>
      </c>
      <c r="C9" s="30">
        <v>45.0</v>
      </c>
      <c r="D9" s="31">
        <v>15.0</v>
      </c>
      <c r="E9" s="28">
        <f t="shared" si="1"/>
        <v>318</v>
      </c>
      <c r="F9" s="30">
        <v>32.0</v>
      </c>
      <c r="G9" s="30">
        <v>49.0</v>
      </c>
      <c r="H9" s="30">
        <v>54.0</v>
      </c>
      <c r="I9" s="30">
        <v>50.0</v>
      </c>
      <c r="J9" s="30">
        <v>45.0</v>
      </c>
      <c r="K9" s="30">
        <v>54.0</v>
      </c>
      <c r="L9" s="31">
        <v>34.0</v>
      </c>
      <c r="M9" s="24">
        <f t="shared" si="2"/>
        <v>318</v>
      </c>
      <c r="N9" s="30">
        <v>243.0</v>
      </c>
      <c r="O9" s="31">
        <v>75.0</v>
      </c>
      <c r="P9" s="24">
        <f t="shared" si="3"/>
        <v>318</v>
      </c>
      <c r="Q9" s="30">
        <v>230.0</v>
      </c>
      <c r="R9" s="31">
        <v>88.0</v>
      </c>
      <c r="S9" s="24">
        <f t="shared" si="4"/>
        <v>318</v>
      </c>
      <c r="T9" s="30">
        <v>368.0</v>
      </c>
      <c r="U9" s="30">
        <v>83.0</v>
      </c>
      <c r="V9" s="30">
        <v>0.0</v>
      </c>
      <c r="W9" s="30">
        <v>114.0</v>
      </c>
      <c r="X9" s="30">
        <v>15.0</v>
      </c>
      <c r="Y9" s="30">
        <v>1.0</v>
      </c>
      <c r="Z9" s="31">
        <v>1.0</v>
      </c>
      <c r="AA9" s="24">
        <f t="shared" si="5"/>
        <v>582</v>
      </c>
      <c r="AB9" s="30">
        <v>13.0</v>
      </c>
      <c r="AC9" s="30">
        <v>320.0</v>
      </c>
      <c r="AD9" s="30">
        <v>176.0</v>
      </c>
      <c r="AE9" s="30">
        <v>59.0</v>
      </c>
      <c r="AF9" s="30">
        <v>14.0</v>
      </c>
      <c r="AG9" s="24">
        <f t="shared" si="6"/>
        <v>582</v>
      </c>
      <c r="AH9" s="30">
        <v>464.0</v>
      </c>
      <c r="AI9" s="30">
        <v>118.0</v>
      </c>
      <c r="AJ9" s="24">
        <f t="shared" si="7"/>
        <v>582</v>
      </c>
      <c r="AK9" s="30">
        <v>423.0</v>
      </c>
      <c r="AL9" s="30">
        <v>159.0</v>
      </c>
      <c r="AM9" s="24">
        <f t="shared" si="8"/>
        <v>582</v>
      </c>
      <c r="AN9" s="30">
        <v>579.0</v>
      </c>
      <c r="AO9" s="31">
        <v>3.0</v>
      </c>
      <c r="AP9" s="24">
        <f t="shared" si="9"/>
        <v>582</v>
      </c>
      <c r="AQ9" s="30">
        <v>478.0</v>
      </c>
      <c r="AR9" s="30">
        <v>61.0</v>
      </c>
      <c r="AS9" s="30">
        <v>8.0</v>
      </c>
      <c r="AT9" s="30">
        <v>0.0</v>
      </c>
      <c r="AU9" s="31">
        <v>35.0</v>
      </c>
      <c r="AV9" s="24">
        <f t="shared" si="15"/>
        <v>582</v>
      </c>
      <c r="AW9" s="29">
        <f t="shared" si="10"/>
        <v>35</v>
      </c>
      <c r="AX9" s="30">
        <v>547.0</v>
      </c>
      <c r="AY9" s="31">
        <v>0.0</v>
      </c>
      <c r="AZ9" s="24">
        <f t="shared" si="11"/>
        <v>582</v>
      </c>
      <c r="BA9" s="30">
        <v>230.0</v>
      </c>
      <c r="BB9" s="30">
        <v>52.0</v>
      </c>
      <c r="BC9" s="30">
        <v>4.0</v>
      </c>
      <c r="BD9" s="30">
        <v>1.0</v>
      </c>
      <c r="BE9" s="30">
        <v>0.0</v>
      </c>
      <c r="BF9" s="30">
        <v>18.0</v>
      </c>
      <c r="BG9" s="30">
        <v>9.0</v>
      </c>
      <c r="BH9" s="31">
        <v>4.0</v>
      </c>
      <c r="BI9" s="24">
        <f t="shared" si="12"/>
        <v>318</v>
      </c>
      <c r="BJ9" s="30">
        <v>0.0</v>
      </c>
      <c r="BK9" s="30">
        <v>3.0</v>
      </c>
      <c r="BL9" s="30">
        <v>9.0</v>
      </c>
      <c r="BM9" s="30">
        <v>2.0</v>
      </c>
      <c r="BN9" s="30">
        <v>126.0</v>
      </c>
      <c r="BO9" s="30">
        <v>0.0</v>
      </c>
      <c r="BP9" s="31">
        <v>178.0</v>
      </c>
      <c r="BQ9" s="24">
        <f t="shared" si="13"/>
        <v>318</v>
      </c>
      <c r="BR9" s="32">
        <v>103.0</v>
      </c>
      <c r="BS9" s="30">
        <v>16.0</v>
      </c>
      <c r="BT9" s="31">
        <v>564.0</v>
      </c>
      <c r="BU9" s="24">
        <f t="shared" si="14"/>
        <v>683</v>
      </c>
    </row>
    <row r="10" ht="21.0" customHeight="1">
      <c r="A10" s="24" t="s">
        <v>77</v>
      </c>
      <c r="B10" s="33">
        <v>97.0</v>
      </c>
      <c r="C10" s="30">
        <v>32.0</v>
      </c>
      <c r="D10" s="31">
        <v>9.0</v>
      </c>
      <c r="E10" s="28">
        <f t="shared" si="1"/>
        <v>138</v>
      </c>
      <c r="F10" s="30">
        <v>21.0</v>
      </c>
      <c r="G10" s="30">
        <v>20.0</v>
      </c>
      <c r="H10" s="30">
        <v>21.0</v>
      </c>
      <c r="I10" s="30">
        <v>18.0</v>
      </c>
      <c r="J10" s="30">
        <v>23.0</v>
      </c>
      <c r="K10" s="30">
        <v>16.0</v>
      </c>
      <c r="L10" s="31">
        <v>19.0</v>
      </c>
      <c r="M10" s="24">
        <f t="shared" si="2"/>
        <v>138</v>
      </c>
      <c r="N10" s="30">
        <v>100.0</v>
      </c>
      <c r="O10" s="31">
        <v>38.0</v>
      </c>
      <c r="P10" s="24">
        <f t="shared" si="3"/>
        <v>138</v>
      </c>
      <c r="Q10" s="30">
        <v>111.0</v>
      </c>
      <c r="R10" s="31">
        <v>27.0</v>
      </c>
      <c r="S10" s="24">
        <f t="shared" si="4"/>
        <v>138</v>
      </c>
      <c r="T10" s="30">
        <v>149.0</v>
      </c>
      <c r="U10" s="30">
        <v>34.0</v>
      </c>
      <c r="V10" s="30">
        <v>0.0</v>
      </c>
      <c r="W10" s="30">
        <v>49.0</v>
      </c>
      <c r="X10" s="30">
        <v>10.0</v>
      </c>
      <c r="Y10" s="30">
        <v>2.0</v>
      </c>
      <c r="Z10" s="31">
        <v>8.0</v>
      </c>
      <c r="AA10" s="24">
        <f t="shared" si="5"/>
        <v>252</v>
      </c>
      <c r="AB10" s="30">
        <v>10.0</v>
      </c>
      <c r="AC10" s="30">
        <v>141.0</v>
      </c>
      <c r="AD10" s="30">
        <v>85.0</v>
      </c>
      <c r="AE10" s="30">
        <v>24.0</v>
      </c>
      <c r="AF10" s="30">
        <v>4.0</v>
      </c>
      <c r="AG10" s="24">
        <f t="shared" si="6"/>
        <v>264</v>
      </c>
      <c r="AH10" s="30">
        <v>223.0</v>
      </c>
      <c r="AI10" s="30">
        <v>41.0</v>
      </c>
      <c r="AJ10" s="24">
        <f t="shared" si="7"/>
        <v>264</v>
      </c>
      <c r="AK10" s="30">
        <v>173.0</v>
      </c>
      <c r="AL10" s="30">
        <v>91.0</v>
      </c>
      <c r="AM10" s="24">
        <f t="shared" si="8"/>
        <v>264</v>
      </c>
      <c r="AN10" s="30">
        <v>264.0</v>
      </c>
      <c r="AO10" s="31">
        <v>0.0</v>
      </c>
      <c r="AP10" s="24">
        <f t="shared" si="9"/>
        <v>264</v>
      </c>
      <c r="AQ10" s="30">
        <v>249.0</v>
      </c>
      <c r="AR10" s="30">
        <v>5.0</v>
      </c>
      <c r="AS10" s="30">
        <v>0.0</v>
      </c>
      <c r="AT10" s="30">
        <v>0.0</v>
      </c>
      <c r="AU10" s="31">
        <v>10.0</v>
      </c>
      <c r="AV10" s="24">
        <f t="shared" si="15"/>
        <v>264</v>
      </c>
      <c r="AW10" s="29">
        <f t="shared" si="10"/>
        <v>10</v>
      </c>
      <c r="AX10" s="30">
        <v>254.0</v>
      </c>
      <c r="AY10" s="31">
        <v>0.0</v>
      </c>
      <c r="AZ10" s="24">
        <f t="shared" si="11"/>
        <v>264</v>
      </c>
      <c r="BA10" s="30">
        <v>112.0</v>
      </c>
      <c r="BB10" s="30">
        <v>8.0</v>
      </c>
      <c r="BC10" s="30">
        <v>0.0</v>
      </c>
      <c r="BD10" s="30">
        <v>0.0</v>
      </c>
      <c r="BE10" s="30">
        <v>1.0</v>
      </c>
      <c r="BF10" s="30">
        <v>12.0</v>
      </c>
      <c r="BG10" s="30">
        <v>5.0</v>
      </c>
      <c r="BH10" s="31">
        <v>0.0</v>
      </c>
      <c r="BI10" s="24">
        <f t="shared" si="12"/>
        <v>138</v>
      </c>
      <c r="BJ10" s="30">
        <v>4.0</v>
      </c>
      <c r="BK10" s="30">
        <v>7.0</v>
      </c>
      <c r="BL10" s="30">
        <v>7.0</v>
      </c>
      <c r="BM10" s="30">
        <v>5.0</v>
      </c>
      <c r="BN10" s="30">
        <v>72.0</v>
      </c>
      <c r="BO10" s="30">
        <v>0.0</v>
      </c>
      <c r="BP10" s="31">
        <v>43.0</v>
      </c>
      <c r="BQ10" s="24">
        <f t="shared" si="13"/>
        <v>138</v>
      </c>
      <c r="BR10" s="32">
        <v>70.0</v>
      </c>
      <c r="BS10" s="30">
        <v>15.0</v>
      </c>
      <c r="BT10" s="31">
        <v>238.0</v>
      </c>
      <c r="BU10" s="24">
        <f t="shared" si="14"/>
        <v>323</v>
      </c>
    </row>
    <row r="11" ht="21.0" customHeight="1">
      <c r="A11" s="24" t="s">
        <v>78</v>
      </c>
      <c r="B11" s="33">
        <v>74.0</v>
      </c>
      <c r="C11" s="30">
        <v>49.0</v>
      </c>
      <c r="D11" s="31">
        <v>11.0</v>
      </c>
      <c r="E11" s="28">
        <f t="shared" si="1"/>
        <v>134</v>
      </c>
      <c r="F11" s="30">
        <v>18.0</v>
      </c>
      <c r="G11" s="30">
        <v>14.0</v>
      </c>
      <c r="H11" s="30">
        <v>23.0</v>
      </c>
      <c r="I11" s="30">
        <v>24.0</v>
      </c>
      <c r="J11" s="30">
        <v>23.0</v>
      </c>
      <c r="K11" s="30">
        <v>16.0</v>
      </c>
      <c r="L11" s="31">
        <v>16.0</v>
      </c>
      <c r="M11" s="24">
        <f t="shared" si="2"/>
        <v>134</v>
      </c>
      <c r="N11" s="30">
        <v>102.0</v>
      </c>
      <c r="O11" s="31">
        <v>32.0</v>
      </c>
      <c r="P11" s="24">
        <f t="shared" si="3"/>
        <v>134</v>
      </c>
      <c r="Q11" s="30">
        <v>100.0</v>
      </c>
      <c r="R11" s="31">
        <v>34.0</v>
      </c>
      <c r="S11" s="24">
        <f t="shared" si="4"/>
        <v>134</v>
      </c>
      <c r="T11" s="30">
        <v>128.0</v>
      </c>
      <c r="U11" s="30">
        <v>42.0</v>
      </c>
      <c r="V11" s="30">
        <v>0.0</v>
      </c>
      <c r="W11" s="30">
        <v>38.0</v>
      </c>
      <c r="X11" s="30">
        <v>8.0</v>
      </c>
      <c r="Y11" s="30">
        <v>0.0</v>
      </c>
      <c r="Z11" s="31">
        <v>2.0</v>
      </c>
      <c r="AA11" s="24">
        <f t="shared" si="5"/>
        <v>218</v>
      </c>
      <c r="AB11" s="30">
        <v>6.0</v>
      </c>
      <c r="AC11" s="30">
        <v>95.0</v>
      </c>
      <c r="AD11" s="30">
        <v>80.0</v>
      </c>
      <c r="AE11" s="30">
        <v>25.0</v>
      </c>
      <c r="AF11" s="30">
        <v>11.0</v>
      </c>
      <c r="AG11" s="24">
        <f t="shared" si="6"/>
        <v>217</v>
      </c>
      <c r="AH11" s="30">
        <v>182.0</v>
      </c>
      <c r="AI11" s="30">
        <v>35.0</v>
      </c>
      <c r="AJ11" s="24">
        <f t="shared" si="7"/>
        <v>217</v>
      </c>
      <c r="AK11" s="30">
        <v>156.0</v>
      </c>
      <c r="AL11" s="30">
        <v>61.0</v>
      </c>
      <c r="AM11" s="24">
        <f t="shared" si="8"/>
        <v>217</v>
      </c>
      <c r="AN11" s="30">
        <v>215.0</v>
      </c>
      <c r="AO11" s="31">
        <v>2.0</v>
      </c>
      <c r="AP11" s="24">
        <f t="shared" si="9"/>
        <v>217</v>
      </c>
      <c r="AQ11" s="30">
        <v>187.0</v>
      </c>
      <c r="AR11" s="30">
        <v>8.0</v>
      </c>
      <c r="AS11" s="30">
        <v>0.0</v>
      </c>
      <c r="AT11" s="30">
        <v>0.0</v>
      </c>
      <c r="AU11" s="31">
        <v>22.0</v>
      </c>
      <c r="AV11" s="24">
        <f t="shared" si="15"/>
        <v>217</v>
      </c>
      <c r="AW11" s="29">
        <f t="shared" si="10"/>
        <v>22</v>
      </c>
      <c r="AX11" s="30">
        <v>195.0</v>
      </c>
      <c r="AY11" s="31">
        <v>0.0</v>
      </c>
      <c r="AZ11" s="24">
        <f t="shared" si="11"/>
        <v>217</v>
      </c>
      <c r="BA11" s="30">
        <v>97.0</v>
      </c>
      <c r="BB11" s="30">
        <v>15.0</v>
      </c>
      <c r="BC11" s="30">
        <v>4.0</v>
      </c>
      <c r="BD11" s="30">
        <v>2.0</v>
      </c>
      <c r="BE11" s="30">
        <v>0.0</v>
      </c>
      <c r="BF11" s="30">
        <v>9.0</v>
      </c>
      <c r="BG11" s="30">
        <v>7.0</v>
      </c>
      <c r="BH11" s="31">
        <v>0.0</v>
      </c>
      <c r="BI11" s="24">
        <f t="shared" si="12"/>
        <v>134</v>
      </c>
      <c r="BJ11" s="30">
        <v>5.0</v>
      </c>
      <c r="BK11" s="30">
        <v>3.0</v>
      </c>
      <c r="BL11" s="30">
        <v>1.0</v>
      </c>
      <c r="BM11" s="30">
        <v>1.0</v>
      </c>
      <c r="BN11" s="30">
        <v>73.0</v>
      </c>
      <c r="BO11" s="30">
        <v>1.0</v>
      </c>
      <c r="BP11" s="31">
        <v>50.0</v>
      </c>
      <c r="BQ11" s="24">
        <f t="shared" si="13"/>
        <v>134</v>
      </c>
      <c r="BR11" s="32">
        <v>96.0</v>
      </c>
      <c r="BS11" s="30">
        <v>20.0</v>
      </c>
      <c r="BT11" s="31">
        <v>180.0</v>
      </c>
      <c r="BU11" s="24">
        <f t="shared" si="14"/>
        <v>296</v>
      </c>
    </row>
    <row r="12" ht="21.0" customHeight="1">
      <c r="A12" s="24" t="s">
        <v>79</v>
      </c>
      <c r="B12" s="33">
        <v>17.0</v>
      </c>
      <c r="C12" s="30">
        <v>62.0</v>
      </c>
      <c r="D12" s="31">
        <v>19.0</v>
      </c>
      <c r="E12" s="28">
        <f t="shared" si="1"/>
        <v>98</v>
      </c>
      <c r="F12" s="30">
        <v>16.0</v>
      </c>
      <c r="G12" s="30">
        <v>13.0</v>
      </c>
      <c r="H12" s="30">
        <v>17.0</v>
      </c>
      <c r="I12" s="30">
        <v>13.0</v>
      </c>
      <c r="J12" s="30">
        <v>15.0</v>
      </c>
      <c r="K12" s="30">
        <v>14.0</v>
      </c>
      <c r="L12" s="31">
        <v>10.0</v>
      </c>
      <c r="M12" s="24">
        <f t="shared" si="2"/>
        <v>98</v>
      </c>
      <c r="N12" s="30">
        <v>83.0</v>
      </c>
      <c r="O12" s="31">
        <v>15.0</v>
      </c>
      <c r="P12" s="24">
        <f t="shared" si="3"/>
        <v>98</v>
      </c>
      <c r="Q12" s="30">
        <v>55.0</v>
      </c>
      <c r="R12" s="31">
        <v>43.0</v>
      </c>
      <c r="S12" s="24">
        <f t="shared" si="4"/>
        <v>98</v>
      </c>
      <c r="T12" s="30">
        <v>94.0</v>
      </c>
      <c r="U12" s="30">
        <v>26.0</v>
      </c>
      <c r="V12" s="30">
        <v>0.0</v>
      </c>
      <c r="W12" s="30">
        <v>28.0</v>
      </c>
      <c r="X12" s="30">
        <v>8.0</v>
      </c>
      <c r="Y12" s="30">
        <v>1.0</v>
      </c>
      <c r="Z12" s="31">
        <v>1.0</v>
      </c>
      <c r="AA12" s="24">
        <f t="shared" si="5"/>
        <v>158</v>
      </c>
      <c r="AB12" s="30">
        <v>8.0</v>
      </c>
      <c r="AC12" s="30">
        <v>78.0</v>
      </c>
      <c r="AD12" s="30">
        <v>53.0</v>
      </c>
      <c r="AE12" s="30">
        <v>19.0</v>
      </c>
      <c r="AF12" s="30">
        <v>7.0</v>
      </c>
      <c r="AG12" s="24">
        <f t="shared" si="6"/>
        <v>165</v>
      </c>
      <c r="AH12" s="30">
        <v>135.0</v>
      </c>
      <c r="AI12" s="30">
        <v>30.0</v>
      </c>
      <c r="AJ12" s="24">
        <f t="shared" si="7"/>
        <v>165</v>
      </c>
      <c r="AK12" s="30">
        <v>129.0</v>
      </c>
      <c r="AL12" s="30">
        <v>36.0</v>
      </c>
      <c r="AM12" s="24">
        <f t="shared" si="8"/>
        <v>165</v>
      </c>
      <c r="AN12" s="30">
        <v>162.0</v>
      </c>
      <c r="AO12" s="31">
        <v>3.0</v>
      </c>
      <c r="AP12" s="24">
        <f t="shared" si="9"/>
        <v>165</v>
      </c>
      <c r="AQ12" s="30">
        <v>147.0</v>
      </c>
      <c r="AR12" s="30">
        <v>6.0</v>
      </c>
      <c r="AS12" s="30">
        <v>0.0</v>
      </c>
      <c r="AT12" s="30">
        <v>0.0</v>
      </c>
      <c r="AU12" s="31">
        <v>12.0</v>
      </c>
      <c r="AV12" s="24">
        <f t="shared" si="15"/>
        <v>165</v>
      </c>
      <c r="AW12" s="29">
        <f t="shared" si="10"/>
        <v>12</v>
      </c>
      <c r="AX12" s="30">
        <v>152.0</v>
      </c>
      <c r="AY12" s="31">
        <v>1.0</v>
      </c>
      <c r="AZ12" s="24">
        <f t="shared" si="11"/>
        <v>165</v>
      </c>
      <c r="BA12" s="30">
        <v>69.0</v>
      </c>
      <c r="BB12" s="30">
        <v>7.0</v>
      </c>
      <c r="BC12" s="30">
        <v>5.0</v>
      </c>
      <c r="BD12" s="30">
        <v>0.0</v>
      </c>
      <c r="BE12" s="30">
        <v>0.0</v>
      </c>
      <c r="BF12" s="30">
        <v>15.0</v>
      </c>
      <c r="BG12" s="30">
        <v>2.0</v>
      </c>
      <c r="BH12" s="31">
        <v>0.0</v>
      </c>
      <c r="BI12" s="24">
        <f t="shared" si="12"/>
        <v>98</v>
      </c>
      <c r="BJ12" s="30">
        <v>0.0</v>
      </c>
      <c r="BK12" s="30">
        <v>3.0</v>
      </c>
      <c r="BL12" s="30">
        <v>6.0</v>
      </c>
      <c r="BM12" s="30">
        <v>1.0</v>
      </c>
      <c r="BN12" s="30">
        <v>56.0</v>
      </c>
      <c r="BO12" s="30">
        <v>0.0</v>
      </c>
      <c r="BP12" s="31">
        <v>32.0</v>
      </c>
      <c r="BQ12" s="24">
        <f t="shared" si="13"/>
        <v>98</v>
      </c>
      <c r="BR12" s="32">
        <v>123.0</v>
      </c>
      <c r="BS12" s="30">
        <v>25.0</v>
      </c>
      <c r="BT12" s="31">
        <v>93.0</v>
      </c>
      <c r="BU12" s="24">
        <f t="shared" si="14"/>
        <v>241</v>
      </c>
    </row>
    <row r="13" ht="21.0" customHeight="1">
      <c r="A13" s="24" t="s">
        <v>80</v>
      </c>
      <c r="B13" s="35">
        <v>13.0</v>
      </c>
      <c r="C13" s="36">
        <v>34.0</v>
      </c>
      <c r="D13" s="37">
        <v>11.0</v>
      </c>
      <c r="E13" s="28">
        <f t="shared" si="1"/>
        <v>58</v>
      </c>
      <c r="F13" s="36">
        <v>6.0</v>
      </c>
      <c r="G13" s="36">
        <v>17.0</v>
      </c>
      <c r="H13" s="36">
        <v>5.0</v>
      </c>
      <c r="I13" s="36">
        <v>9.0</v>
      </c>
      <c r="J13" s="36">
        <v>4.0</v>
      </c>
      <c r="K13" s="36">
        <v>10.0</v>
      </c>
      <c r="L13" s="37">
        <v>7.0</v>
      </c>
      <c r="M13" s="24">
        <f t="shared" si="2"/>
        <v>58</v>
      </c>
      <c r="N13" s="36">
        <v>44.0</v>
      </c>
      <c r="O13" s="37">
        <v>14.0</v>
      </c>
      <c r="P13" s="24">
        <f t="shared" si="3"/>
        <v>58</v>
      </c>
      <c r="Q13" s="30">
        <v>31.0</v>
      </c>
      <c r="R13" s="31">
        <v>27.0</v>
      </c>
      <c r="S13" s="24">
        <f t="shared" si="4"/>
        <v>58</v>
      </c>
      <c r="T13" s="30">
        <v>49.0</v>
      </c>
      <c r="U13" s="30">
        <v>16.0</v>
      </c>
      <c r="V13" s="30">
        <v>0.0</v>
      </c>
      <c r="W13" s="30">
        <v>18.0</v>
      </c>
      <c r="X13" s="30">
        <v>0.0</v>
      </c>
      <c r="Y13" s="30">
        <v>0.0</v>
      </c>
      <c r="Z13" s="31">
        <v>4.0</v>
      </c>
      <c r="AA13" s="24">
        <f t="shared" si="5"/>
        <v>87</v>
      </c>
      <c r="AB13" s="30">
        <v>5.0</v>
      </c>
      <c r="AC13" s="30">
        <v>39.0</v>
      </c>
      <c r="AD13" s="30">
        <v>26.0</v>
      </c>
      <c r="AE13" s="30">
        <v>13.0</v>
      </c>
      <c r="AF13" s="30">
        <v>4.0</v>
      </c>
      <c r="AG13" s="24">
        <f t="shared" si="6"/>
        <v>87</v>
      </c>
      <c r="AH13" s="30">
        <v>73.0</v>
      </c>
      <c r="AI13" s="30">
        <v>14.0</v>
      </c>
      <c r="AJ13" s="24">
        <f t="shared" si="7"/>
        <v>87</v>
      </c>
      <c r="AK13" s="30">
        <v>41.0</v>
      </c>
      <c r="AL13" s="30">
        <v>46.0</v>
      </c>
      <c r="AM13" s="24">
        <f t="shared" si="8"/>
        <v>87</v>
      </c>
      <c r="AN13" s="30">
        <v>85.0</v>
      </c>
      <c r="AO13" s="31">
        <v>2.0</v>
      </c>
      <c r="AP13" s="24">
        <f t="shared" si="9"/>
        <v>87</v>
      </c>
      <c r="AQ13" s="30">
        <v>72.0</v>
      </c>
      <c r="AR13" s="30">
        <v>0.0</v>
      </c>
      <c r="AS13" s="30">
        <v>0.0</v>
      </c>
      <c r="AT13" s="30">
        <v>0.0</v>
      </c>
      <c r="AU13" s="31">
        <v>15.0</v>
      </c>
      <c r="AV13" s="24">
        <f t="shared" si="15"/>
        <v>87</v>
      </c>
      <c r="AW13" s="29">
        <f t="shared" si="10"/>
        <v>15</v>
      </c>
      <c r="AX13" s="30">
        <v>72.0</v>
      </c>
      <c r="AY13" s="31">
        <v>0.0</v>
      </c>
      <c r="AZ13" s="24">
        <f t="shared" si="11"/>
        <v>87</v>
      </c>
      <c r="BA13" s="30">
        <v>29.0</v>
      </c>
      <c r="BB13" s="30">
        <v>4.0</v>
      </c>
      <c r="BC13" s="30">
        <v>5.0</v>
      </c>
      <c r="BD13" s="30">
        <v>0.0</v>
      </c>
      <c r="BE13" s="30">
        <v>0.0</v>
      </c>
      <c r="BF13" s="30">
        <v>13.0</v>
      </c>
      <c r="BG13" s="30">
        <v>7.0</v>
      </c>
      <c r="BH13" s="31">
        <v>0.0</v>
      </c>
      <c r="BI13" s="24">
        <f t="shared" si="12"/>
        <v>58</v>
      </c>
      <c r="BJ13" s="36">
        <v>0.0</v>
      </c>
      <c r="BK13" s="36">
        <v>0.0</v>
      </c>
      <c r="BL13" s="36">
        <v>1.0</v>
      </c>
      <c r="BM13" s="36">
        <v>0.0</v>
      </c>
      <c r="BN13" s="36">
        <v>32.0</v>
      </c>
      <c r="BO13" s="36">
        <v>0.0</v>
      </c>
      <c r="BP13" s="37">
        <v>25.0</v>
      </c>
      <c r="BQ13" s="38">
        <f t="shared" si="13"/>
        <v>58</v>
      </c>
      <c r="BR13" s="39">
        <v>86.0</v>
      </c>
      <c r="BS13" s="36">
        <v>15.0</v>
      </c>
      <c r="BT13" s="37">
        <v>48.0</v>
      </c>
      <c r="BU13" s="38">
        <f t="shared" si="14"/>
        <v>149</v>
      </c>
    </row>
    <row r="14" ht="21.0" customHeight="1">
      <c r="A14" s="24" t="s">
        <v>47</v>
      </c>
      <c r="B14" s="40">
        <f t="shared" ref="B14:L14" si="16">SUM(B2:B13)</f>
        <v>2890</v>
      </c>
      <c r="C14" s="41">
        <f t="shared" si="16"/>
        <v>585</v>
      </c>
      <c r="D14" s="41">
        <f t="shared" si="16"/>
        <v>143</v>
      </c>
      <c r="E14" s="42">
        <f t="shared" si="16"/>
        <v>3618</v>
      </c>
      <c r="F14" s="41">
        <f t="shared" si="16"/>
        <v>437</v>
      </c>
      <c r="G14" s="41">
        <f t="shared" si="16"/>
        <v>537</v>
      </c>
      <c r="H14" s="41">
        <f t="shared" si="16"/>
        <v>557</v>
      </c>
      <c r="I14" s="41">
        <f t="shared" si="16"/>
        <v>551</v>
      </c>
      <c r="J14" s="41">
        <f t="shared" si="16"/>
        <v>573</v>
      </c>
      <c r="K14" s="41">
        <f t="shared" si="16"/>
        <v>575</v>
      </c>
      <c r="L14" s="41">
        <f t="shared" si="16"/>
        <v>388</v>
      </c>
      <c r="M14" s="24">
        <f t="shared" si="2"/>
        <v>3618</v>
      </c>
      <c r="N14" s="41">
        <f t="shared" ref="N14:BU14" si="17">SUM(N2:N13)</f>
        <v>2708</v>
      </c>
      <c r="O14" s="41">
        <f t="shared" si="17"/>
        <v>910</v>
      </c>
      <c r="P14" s="24">
        <f t="shared" si="17"/>
        <v>3618</v>
      </c>
      <c r="Q14" s="41">
        <f t="shared" si="17"/>
        <v>2675</v>
      </c>
      <c r="R14" s="43">
        <f t="shared" si="17"/>
        <v>943</v>
      </c>
      <c r="S14" s="24">
        <f t="shared" si="17"/>
        <v>3618</v>
      </c>
      <c r="T14" s="41">
        <f t="shared" si="17"/>
        <v>3425</v>
      </c>
      <c r="U14" s="41">
        <f t="shared" si="17"/>
        <v>1049</v>
      </c>
      <c r="V14" s="41">
        <f t="shared" si="17"/>
        <v>60</v>
      </c>
      <c r="W14" s="41">
        <f t="shared" si="17"/>
        <v>1618</v>
      </c>
      <c r="X14" s="41">
        <f t="shared" si="17"/>
        <v>199</v>
      </c>
      <c r="Y14" s="41">
        <f t="shared" si="17"/>
        <v>42</v>
      </c>
      <c r="Z14" s="41">
        <f t="shared" si="17"/>
        <v>67</v>
      </c>
      <c r="AA14" s="24">
        <f t="shared" si="17"/>
        <v>6460</v>
      </c>
      <c r="AB14" s="24">
        <f t="shared" si="17"/>
        <v>187</v>
      </c>
      <c r="AC14" s="41">
        <f t="shared" si="17"/>
        <v>2990</v>
      </c>
      <c r="AD14" s="41">
        <f t="shared" si="17"/>
        <v>2230</v>
      </c>
      <c r="AE14" s="41">
        <f t="shared" si="17"/>
        <v>791</v>
      </c>
      <c r="AF14" s="41">
        <f t="shared" si="17"/>
        <v>224</v>
      </c>
      <c r="AG14" s="24">
        <f t="shared" si="17"/>
        <v>6422</v>
      </c>
      <c r="AH14" s="41">
        <f t="shared" si="17"/>
        <v>5121</v>
      </c>
      <c r="AI14" s="41">
        <f t="shared" si="17"/>
        <v>1301</v>
      </c>
      <c r="AJ14" s="24">
        <f t="shared" si="17"/>
        <v>6422</v>
      </c>
      <c r="AK14" s="41">
        <f t="shared" si="17"/>
        <v>4437</v>
      </c>
      <c r="AL14" s="41">
        <f t="shared" si="17"/>
        <v>1985</v>
      </c>
      <c r="AM14" s="24">
        <f t="shared" si="17"/>
        <v>6422</v>
      </c>
      <c r="AN14" s="41">
        <f t="shared" si="17"/>
        <v>6362</v>
      </c>
      <c r="AO14" s="43">
        <f t="shared" si="17"/>
        <v>60</v>
      </c>
      <c r="AP14" s="24">
        <f t="shared" si="17"/>
        <v>6422</v>
      </c>
      <c r="AQ14" s="41">
        <f t="shared" si="17"/>
        <v>5332</v>
      </c>
      <c r="AR14" s="41">
        <f t="shared" si="17"/>
        <v>475</v>
      </c>
      <c r="AS14" s="41">
        <f t="shared" si="17"/>
        <v>10</v>
      </c>
      <c r="AT14" s="41">
        <f t="shared" si="17"/>
        <v>10</v>
      </c>
      <c r="AU14" s="43">
        <f t="shared" si="17"/>
        <v>595</v>
      </c>
      <c r="AV14" s="24">
        <f t="shared" si="17"/>
        <v>6422</v>
      </c>
      <c r="AW14" s="40">
        <f t="shared" si="17"/>
        <v>595</v>
      </c>
      <c r="AX14" s="41">
        <f t="shared" si="17"/>
        <v>5797</v>
      </c>
      <c r="AY14" s="43">
        <f t="shared" si="17"/>
        <v>30</v>
      </c>
      <c r="AZ14" s="24">
        <f t="shared" si="17"/>
        <v>6422</v>
      </c>
      <c r="BA14" s="44">
        <f t="shared" si="17"/>
        <v>2769</v>
      </c>
      <c r="BB14" s="44">
        <f t="shared" si="17"/>
        <v>376</v>
      </c>
      <c r="BC14" s="44">
        <f t="shared" si="17"/>
        <v>55</v>
      </c>
      <c r="BD14" s="44">
        <f t="shared" si="17"/>
        <v>11</v>
      </c>
      <c r="BE14" s="44">
        <f t="shared" si="17"/>
        <v>5</v>
      </c>
      <c r="BF14" s="44">
        <f t="shared" si="17"/>
        <v>205</v>
      </c>
      <c r="BG14" s="44">
        <f t="shared" si="17"/>
        <v>170</v>
      </c>
      <c r="BH14" s="44">
        <f t="shared" si="17"/>
        <v>27</v>
      </c>
      <c r="BI14" s="24">
        <f t="shared" si="17"/>
        <v>3618</v>
      </c>
      <c r="BJ14" s="24">
        <f t="shared" si="17"/>
        <v>24</v>
      </c>
      <c r="BK14" s="24">
        <f t="shared" si="17"/>
        <v>118</v>
      </c>
      <c r="BL14" s="24">
        <f t="shared" si="17"/>
        <v>161</v>
      </c>
      <c r="BM14" s="24">
        <f t="shared" si="17"/>
        <v>87</v>
      </c>
      <c r="BN14" s="24">
        <f t="shared" si="17"/>
        <v>1058</v>
      </c>
      <c r="BO14" s="24">
        <f t="shared" si="17"/>
        <v>1</v>
      </c>
      <c r="BP14" s="24">
        <f t="shared" si="17"/>
        <v>2169</v>
      </c>
      <c r="BQ14" s="24">
        <f t="shared" si="17"/>
        <v>3618</v>
      </c>
      <c r="BR14" s="42">
        <f t="shared" si="17"/>
        <v>1227</v>
      </c>
      <c r="BS14" s="24">
        <f t="shared" si="17"/>
        <v>185</v>
      </c>
      <c r="BT14" s="24">
        <f t="shared" si="17"/>
        <v>6634</v>
      </c>
      <c r="BU14" s="24">
        <f t="shared" si="17"/>
        <v>8046</v>
      </c>
    </row>
    <row r="15" ht="12.75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3" width="8.0"/>
  </cols>
  <sheetData>
    <row r="1" ht="124.5" customHeight="1">
      <c r="A1" s="2" t="s">
        <v>1</v>
      </c>
      <c r="B1" s="3" t="s">
        <v>2</v>
      </c>
      <c r="C1" s="3" t="s">
        <v>3</v>
      </c>
      <c r="D1" s="4" t="s">
        <v>4</v>
      </c>
      <c r="E1" s="5" t="s">
        <v>5</v>
      </c>
      <c r="F1" s="2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6" t="s">
        <v>13</v>
      </c>
      <c r="N1" s="2" t="s">
        <v>14</v>
      </c>
      <c r="O1" s="3" t="s">
        <v>15</v>
      </c>
      <c r="P1" s="6" t="s">
        <v>16</v>
      </c>
      <c r="Q1" s="2" t="s">
        <v>17</v>
      </c>
      <c r="R1" s="3" t="s">
        <v>18</v>
      </c>
      <c r="S1" s="6" t="s">
        <v>19</v>
      </c>
      <c r="T1" s="2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6" t="s">
        <v>27</v>
      </c>
      <c r="AB1" s="2">
        <v>-18.0</v>
      </c>
      <c r="AC1" s="3" t="s">
        <v>28</v>
      </c>
      <c r="AD1" s="3" t="s">
        <v>29</v>
      </c>
      <c r="AE1" s="3" t="s">
        <v>30</v>
      </c>
      <c r="AF1" s="3" t="s">
        <v>31</v>
      </c>
      <c r="AG1" s="6" t="s">
        <v>32</v>
      </c>
      <c r="AH1" s="2" t="s">
        <v>33</v>
      </c>
      <c r="AI1" s="3" t="s">
        <v>34</v>
      </c>
      <c r="AJ1" s="6" t="s">
        <v>35</v>
      </c>
      <c r="AK1" s="2" t="s">
        <v>36</v>
      </c>
      <c r="AL1" s="3" t="s">
        <v>37</v>
      </c>
      <c r="AM1" s="6" t="s">
        <v>38</v>
      </c>
      <c r="AN1" s="2" t="s">
        <v>39</v>
      </c>
      <c r="AO1" s="3" t="s">
        <v>40</v>
      </c>
      <c r="AP1" s="6" t="s">
        <v>41</v>
      </c>
      <c r="AQ1" s="2" t="s">
        <v>42</v>
      </c>
      <c r="AR1" s="3" t="s">
        <v>43</v>
      </c>
      <c r="AS1" s="3" t="s">
        <v>44</v>
      </c>
      <c r="AT1" s="3" t="s">
        <v>45</v>
      </c>
      <c r="AU1" s="7" t="s">
        <v>46</v>
      </c>
      <c r="AV1" s="8" t="s">
        <v>47</v>
      </c>
      <c r="AW1" s="9" t="s">
        <v>46</v>
      </c>
      <c r="AX1" s="3" t="s">
        <v>48</v>
      </c>
      <c r="AY1" s="3" t="s">
        <v>49</v>
      </c>
      <c r="AZ1" s="10" t="s">
        <v>47</v>
      </c>
      <c r="BA1" s="11" t="s">
        <v>50</v>
      </c>
      <c r="BB1" s="12" t="s">
        <v>51</v>
      </c>
      <c r="BC1" s="12" t="s">
        <v>52</v>
      </c>
      <c r="BD1" s="12" t="s">
        <v>53</v>
      </c>
      <c r="BE1" s="13" t="s">
        <v>54</v>
      </c>
      <c r="BF1" s="14" t="s">
        <v>55</v>
      </c>
      <c r="BG1" s="14" t="s">
        <v>56</v>
      </c>
      <c r="BH1" s="15" t="s">
        <v>57</v>
      </c>
      <c r="BI1" s="16" t="s">
        <v>47</v>
      </c>
      <c r="BJ1" s="16" t="s">
        <v>58</v>
      </c>
      <c r="BK1" s="17" t="s">
        <v>59</v>
      </c>
      <c r="BL1" s="18" t="s">
        <v>60</v>
      </c>
      <c r="BM1" s="18" t="s">
        <v>61</v>
      </c>
      <c r="BN1" s="18" t="s">
        <v>62</v>
      </c>
      <c r="BO1" s="18" t="s">
        <v>63</v>
      </c>
      <c r="BP1" s="18" t="s">
        <v>26</v>
      </c>
      <c r="BQ1" s="19" t="s">
        <v>64</v>
      </c>
      <c r="BR1" s="20" t="s">
        <v>65</v>
      </c>
      <c r="BS1" s="21" t="s">
        <v>66</v>
      </c>
      <c r="BT1" s="18" t="s">
        <v>67</v>
      </c>
      <c r="BU1" s="22" t="s">
        <v>68</v>
      </c>
    </row>
    <row r="2" ht="21.0" customHeight="1">
      <c r="A2" s="24" t="s">
        <v>69</v>
      </c>
      <c r="B2" s="25">
        <v>13007.0</v>
      </c>
      <c r="C2" s="26">
        <v>106.0</v>
      </c>
      <c r="D2" s="27">
        <v>39.0</v>
      </c>
      <c r="E2" s="28">
        <f t="shared" ref="E2:E13" si="1">SUM(B2:D2)</f>
        <v>13152</v>
      </c>
      <c r="F2" s="26">
        <v>2199.0</v>
      </c>
      <c r="G2" s="26">
        <v>1927.0</v>
      </c>
      <c r="H2" s="26">
        <v>1989.0</v>
      </c>
      <c r="I2" s="26">
        <v>1271.0</v>
      </c>
      <c r="J2" s="26">
        <v>2349.0</v>
      </c>
      <c r="K2" s="26">
        <v>2173.0</v>
      </c>
      <c r="L2" s="27">
        <v>1244.0</v>
      </c>
      <c r="M2" s="24">
        <f t="shared" ref="M2:M9" si="2">F2+G2+H2+I2+J2++K2+L2</f>
        <v>13152</v>
      </c>
      <c r="N2" s="26">
        <v>8342.0</v>
      </c>
      <c r="O2" s="27">
        <v>4810.0</v>
      </c>
      <c r="P2" s="24">
        <f t="shared" ref="P2:P13" si="3">SUM(N2:O2)</f>
        <v>13152</v>
      </c>
      <c r="Q2" s="26">
        <v>11778.0</v>
      </c>
      <c r="R2" s="27">
        <v>1374.0</v>
      </c>
      <c r="S2" s="24">
        <f t="shared" ref="S2:S13" si="4">SUM(Q2:R2)</f>
        <v>13152</v>
      </c>
      <c r="T2" s="26">
        <v>5973.0</v>
      </c>
      <c r="U2" s="26">
        <v>2032.0</v>
      </c>
      <c r="V2" s="26">
        <v>257.0</v>
      </c>
      <c r="W2" s="26">
        <v>2329.0</v>
      </c>
      <c r="X2" s="26">
        <v>2470.0</v>
      </c>
      <c r="Y2" s="26">
        <v>91.0</v>
      </c>
      <c r="Z2" s="27">
        <v>0.0</v>
      </c>
      <c r="AA2" s="24">
        <f t="shared" ref="AA2:AA13" si="5">SUM(T2:Z2)</f>
        <v>13152</v>
      </c>
      <c r="AB2" s="26">
        <v>4875.0</v>
      </c>
      <c r="AC2" s="26">
        <v>7984.0</v>
      </c>
      <c r="AD2" s="26">
        <v>3650.0</v>
      </c>
      <c r="AE2" s="26">
        <v>2494.0</v>
      </c>
      <c r="AF2" s="26">
        <v>529.0</v>
      </c>
      <c r="AG2" s="24">
        <f t="shared" ref="AG2:AG13" si="6">SUM(AB2:AF2)</f>
        <v>19532</v>
      </c>
      <c r="AH2" s="26">
        <v>14120.0</v>
      </c>
      <c r="AI2" s="26">
        <v>5412.0</v>
      </c>
      <c r="AJ2" s="24">
        <f t="shared" ref="AJ2:AJ13" si="7">SUM(AH2:AI2)</f>
        <v>19532</v>
      </c>
      <c r="AK2" s="26">
        <v>10499.0</v>
      </c>
      <c r="AL2" s="26">
        <v>9033.0</v>
      </c>
      <c r="AM2" s="24">
        <f t="shared" ref="AM2:AM13" si="8">SUM(AK2:AL2)</f>
        <v>19532</v>
      </c>
      <c r="AN2" s="26">
        <v>19100.0</v>
      </c>
      <c r="AO2" s="27">
        <v>432.0</v>
      </c>
      <c r="AP2" s="24">
        <f t="shared" ref="AP2:AP13" si="9">SUM(AN2:AO2)</f>
        <v>19532</v>
      </c>
      <c r="AQ2" s="26">
        <v>8225.0</v>
      </c>
      <c r="AR2" s="26">
        <v>2726.0</v>
      </c>
      <c r="AS2" s="26">
        <v>0.0</v>
      </c>
      <c r="AT2" s="26">
        <v>0.0</v>
      </c>
      <c r="AU2" s="27">
        <v>8581.0</v>
      </c>
      <c r="AV2" s="24">
        <f>+AQ2+AR2+AS2+AT2+AU2</f>
        <v>19532</v>
      </c>
      <c r="AW2" s="29">
        <f t="shared" ref="AW2:AW13" si="10">AU2</f>
        <v>8581</v>
      </c>
      <c r="AX2" s="26">
        <v>9237.0</v>
      </c>
      <c r="AY2" s="27">
        <v>1714.0</v>
      </c>
      <c r="AZ2" s="24">
        <f t="shared" ref="AZ2:AZ13" si="11">SUM(AW2:AY2)</f>
        <v>19532</v>
      </c>
      <c r="BA2" s="30">
        <v>7464.0</v>
      </c>
      <c r="BB2" s="30">
        <v>3192.0</v>
      </c>
      <c r="BC2" s="30">
        <v>143.0</v>
      </c>
      <c r="BD2" s="30">
        <v>2.0</v>
      </c>
      <c r="BE2" s="30">
        <v>0.0</v>
      </c>
      <c r="BF2" s="30">
        <v>1048.0</v>
      </c>
      <c r="BG2" s="30">
        <v>1303.0</v>
      </c>
      <c r="BH2" s="31">
        <v>0.0</v>
      </c>
      <c r="BI2" s="101">
        <f t="shared" ref="BI2:BI11" si="12">SUM(BA2:BH2)</f>
        <v>13152</v>
      </c>
      <c r="BJ2" s="103">
        <v>2148.0</v>
      </c>
      <c r="BK2" s="104">
        <v>2811.0</v>
      </c>
      <c r="BL2" s="105">
        <v>3241.0</v>
      </c>
      <c r="BM2" s="105">
        <v>1772.0</v>
      </c>
      <c r="BN2" s="105">
        <v>3180.0</v>
      </c>
      <c r="BO2" s="105">
        <v>0.0</v>
      </c>
      <c r="BP2" s="106">
        <v>0.0</v>
      </c>
      <c r="BQ2" s="101">
        <f t="shared" ref="BQ2:BQ13" si="13">SUM(BJ2:BP2)</f>
        <v>13152</v>
      </c>
      <c r="BR2" s="107">
        <v>310.0</v>
      </c>
      <c r="BS2" s="108">
        <v>97.0</v>
      </c>
      <c r="BT2" s="108">
        <v>19125.0</v>
      </c>
      <c r="BU2" s="24">
        <f t="shared" ref="BU2:BU13" si="14">SUM(BR2:BT2)</f>
        <v>19532</v>
      </c>
    </row>
    <row r="3" ht="21.0" customHeight="1">
      <c r="A3" s="24" t="s">
        <v>70</v>
      </c>
      <c r="B3" s="33">
        <v>12998.0</v>
      </c>
      <c r="C3" s="30">
        <v>212.0</v>
      </c>
      <c r="D3" s="31">
        <v>76.0</v>
      </c>
      <c r="E3" s="28">
        <f t="shared" si="1"/>
        <v>13286</v>
      </c>
      <c r="F3" s="30">
        <v>1773.0</v>
      </c>
      <c r="G3" s="30">
        <v>1854.0</v>
      </c>
      <c r="H3" s="30">
        <v>1837.0</v>
      </c>
      <c r="I3" s="30">
        <v>2006.0</v>
      </c>
      <c r="J3" s="30">
        <v>2009.0</v>
      </c>
      <c r="K3" s="30">
        <v>1875.0</v>
      </c>
      <c r="L3" s="31">
        <v>1932.0</v>
      </c>
      <c r="M3" s="24">
        <f t="shared" si="2"/>
        <v>13286</v>
      </c>
      <c r="N3" s="30">
        <v>9505.0</v>
      </c>
      <c r="O3" s="31">
        <v>3781.0</v>
      </c>
      <c r="P3" s="24">
        <f t="shared" si="3"/>
        <v>13286</v>
      </c>
      <c r="Q3" s="30">
        <v>11827.0</v>
      </c>
      <c r="R3" s="31">
        <v>1459.0</v>
      </c>
      <c r="S3" s="24">
        <f t="shared" si="4"/>
        <v>13286</v>
      </c>
      <c r="T3" s="30">
        <v>4856.0</v>
      </c>
      <c r="U3" s="30">
        <v>2946.0</v>
      </c>
      <c r="V3" s="30">
        <v>752.0</v>
      </c>
      <c r="W3" s="30">
        <v>1937.0</v>
      </c>
      <c r="X3" s="30">
        <v>2609.0</v>
      </c>
      <c r="Y3" s="30">
        <v>186.0</v>
      </c>
      <c r="Z3" s="31">
        <v>0.0</v>
      </c>
      <c r="AA3" s="24">
        <f t="shared" si="5"/>
        <v>13286</v>
      </c>
      <c r="AB3" s="30">
        <v>5127.0</v>
      </c>
      <c r="AC3" s="30">
        <v>6342.0</v>
      </c>
      <c r="AD3" s="30">
        <v>3245.0</v>
      </c>
      <c r="AE3" s="30">
        <v>2912.0</v>
      </c>
      <c r="AF3" s="30">
        <v>1452.0</v>
      </c>
      <c r="AG3" s="24">
        <f t="shared" si="6"/>
        <v>19078</v>
      </c>
      <c r="AH3" s="30">
        <v>14476.0</v>
      </c>
      <c r="AI3" s="30">
        <v>4602.0</v>
      </c>
      <c r="AJ3" s="24">
        <f t="shared" si="7"/>
        <v>19078</v>
      </c>
      <c r="AK3" s="30">
        <v>11347.0</v>
      </c>
      <c r="AL3" s="30">
        <v>7731.0</v>
      </c>
      <c r="AM3" s="24">
        <f t="shared" si="8"/>
        <v>19078</v>
      </c>
      <c r="AN3" s="30">
        <v>18881.0</v>
      </c>
      <c r="AO3" s="31">
        <v>197.0</v>
      </c>
      <c r="AP3" s="24">
        <f t="shared" si="9"/>
        <v>19078</v>
      </c>
      <c r="AQ3" s="30">
        <v>8528.0</v>
      </c>
      <c r="AR3" s="30">
        <v>5411.0</v>
      </c>
      <c r="AS3" s="30">
        <v>0.0</v>
      </c>
      <c r="AT3" s="30">
        <v>0.0</v>
      </c>
      <c r="AU3" s="31">
        <v>5139.0</v>
      </c>
      <c r="AV3" s="24">
        <f t="shared" ref="AV3:AV13" si="15">SUM(AQ3:AU3)</f>
        <v>19078</v>
      </c>
      <c r="AW3" s="29">
        <f t="shared" si="10"/>
        <v>5139</v>
      </c>
      <c r="AX3" s="30">
        <v>10811.0</v>
      </c>
      <c r="AY3" s="31">
        <v>3128.0</v>
      </c>
      <c r="AZ3" s="24">
        <f t="shared" si="11"/>
        <v>19078</v>
      </c>
      <c r="BA3" s="30">
        <v>5752.0</v>
      </c>
      <c r="BB3" s="30">
        <v>3002.0</v>
      </c>
      <c r="BC3" s="30">
        <v>231.0</v>
      </c>
      <c r="BD3" s="30">
        <v>0.0</v>
      </c>
      <c r="BE3" s="30">
        <v>0.0</v>
      </c>
      <c r="BF3" s="30">
        <v>1984.0</v>
      </c>
      <c r="BG3" s="30">
        <v>2317.0</v>
      </c>
      <c r="BH3" s="31">
        <v>0.0</v>
      </c>
      <c r="BI3" s="101">
        <f t="shared" si="12"/>
        <v>13286</v>
      </c>
      <c r="BJ3" s="103">
        <v>2132.0</v>
      </c>
      <c r="BK3" s="104">
        <v>2229.0</v>
      </c>
      <c r="BL3" s="105">
        <v>3648.0</v>
      </c>
      <c r="BM3" s="105">
        <v>2413.0</v>
      </c>
      <c r="BN3" s="105">
        <v>2864.0</v>
      </c>
      <c r="BO3" s="105">
        <v>0.0</v>
      </c>
      <c r="BP3" s="106">
        <v>0.0</v>
      </c>
      <c r="BQ3" s="101">
        <f t="shared" si="13"/>
        <v>13286</v>
      </c>
      <c r="BR3" s="107">
        <v>338.0</v>
      </c>
      <c r="BS3" s="108">
        <v>102.0</v>
      </c>
      <c r="BT3" s="108">
        <v>18638.0</v>
      </c>
      <c r="BU3" s="24">
        <f t="shared" si="14"/>
        <v>19078</v>
      </c>
    </row>
    <row r="4" ht="21.0" customHeight="1">
      <c r="A4" s="24" t="s">
        <v>71</v>
      </c>
      <c r="B4" s="33">
        <v>11877.0</v>
      </c>
      <c r="C4" s="30">
        <v>271.0</v>
      </c>
      <c r="D4" s="31">
        <v>71.0</v>
      </c>
      <c r="E4" s="28">
        <f t="shared" si="1"/>
        <v>12219</v>
      </c>
      <c r="F4" s="30">
        <v>1766.0</v>
      </c>
      <c r="G4" s="30">
        <v>2216.0</v>
      </c>
      <c r="H4" s="30">
        <v>1762.0</v>
      </c>
      <c r="I4" s="30">
        <v>1694.0</v>
      </c>
      <c r="J4" s="30">
        <v>1673.0</v>
      </c>
      <c r="K4" s="30">
        <v>1721.0</v>
      </c>
      <c r="L4" s="31">
        <v>1387.0</v>
      </c>
      <c r="M4" s="24">
        <f t="shared" si="2"/>
        <v>12219</v>
      </c>
      <c r="N4" s="30">
        <v>9030.0</v>
      </c>
      <c r="O4" s="31">
        <v>3189.0</v>
      </c>
      <c r="P4" s="24">
        <f t="shared" si="3"/>
        <v>12219</v>
      </c>
      <c r="Q4" s="30">
        <v>10748.0</v>
      </c>
      <c r="R4" s="31">
        <v>1471.0</v>
      </c>
      <c r="S4" s="24">
        <f t="shared" si="4"/>
        <v>12219</v>
      </c>
      <c r="T4" s="30">
        <v>4421.0</v>
      </c>
      <c r="U4" s="30">
        <v>2745.0</v>
      </c>
      <c r="V4" s="30">
        <v>689.0</v>
      </c>
      <c r="W4" s="30">
        <v>1782.0</v>
      </c>
      <c r="X4" s="30">
        <v>2485.0</v>
      </c>
      <c r="Y4" s="30">
        <v>97.0</v>
      </c>
      <c r="Z4" s="31">
        <v>0.0</v>
      </c>
      <c r="AA4" s="24">
        <f t="shared" si="5"/>
        <v>12219</v>
      </c>
      <c r="AB4" s="30">
        <v>5102.0</v>
      </c>
      <c r="AC4" s="30">
        <v>6408.0</v>
      </c>
      <c r="AD4" s="30">
        <v>3121.0</v>
      </c>
      <c r="AE4" s="30">
        <v>2810.0</v>
      </c>
      <c r="AF4" s="30">
        <v>1384.0</v>
      </c>
      <c r="AG4" s="24">
        <f t="shared" si="6"/>
        <v>18825</v>
      </c>
      <c r="AH4" s="30">
        <v>14703.0</v>
      </c>
      <c r="AI4" s="30">
        <v>4122.0</v>
      </c>
      <c r="AJ4" s="24">
        <f t="shared" si="7"/>
        <v>18825</v>
      </c>
      <c r="AK4" s="30">
        <v>10606.0</v>
      </c>
      <c r="AL4" s="30">
        <v>8219.0</v>
      </c>
      <c r="AM4" s="24">
        <f t="shared" si="8"/>
        <v>18825</v>
      </c>
      <c r="AN4" s="30">
        <v>18716.0</v>
      </c>
      <c r="AO4" s="31">
        <v>109.0</v>
      </c>
      <c r="AP4" s="24">
        <f t="shared" si="9"/>
        <v>18825</v>
      </c>
      <c r="AQ4" s="30">
        <v>8955.0</v>
      </c>
      <c r="AR4" s="30">
        <v>4883.0</v>
      </c>
      <c r="AS4" s="30">
        <v>0.0</v>
      </c>
      <c r="AT4" s="30">
        <v>0.0</v>
      </c>
      <c r="AU4" s="31">
        <v>4987.0</v>
      </c>
      <c r="AV4" s="24">
        <f t="shared" si="15"/>
        <v>18825</v>
      </c>
      <c r="AW4" s="29">
        <f t="shared" si="10"/>
        <v>4987</v>
      </c>
      <c r="AX4" s="30">
        <v>10725.0</v>
      </c>
      <c r="AY4" s="31">
        <v>3113.0</v>
      </c>
      <c r="AZ4" s="24">
        <f t="shared" si="11"/>
        <v>18825</v>
      </c>
      <c r="BA4" s="30">
        <v>5387.0</v>
      </c>
      <c r="BB4" s="30">
        <v>2529.0</v>
      </c>
      <c r="BC4" s="30">
        <v>214.0</v>
      </c>
      <c r="BD4" s="30">
        <v>0.0</v>
      </c>
      <c r="BE4" s="30">
        <v>0.0</v>
      </c>
      <c r="BF4" s="30">
        <v>1876.0</v>
      </c>
      <c r="BG4" s="30">
        <v>2213.0</v>
      </c>
      <c r="BH4" s="31">
        <v>0.0</v>
      </c>
      <c r="BI4" s="101">
        <f t="shared" si="12"/>
        <v>12219</v>
      </c>
      <c r="BJ4" s="103">
        <v>1215.0</v>
      </c>
      <c r="BK4" s="104">
        <v>1425.0</v>
      </c>
      <c r="BL4" s="105">
        <v>1869.0</v>
      </c>
      <c r="BM4" s="105">
        <v>3687.0</v>
      </c>
      <c r="BN4" s="105">
        <v>4023.0</v>
      </c>
      <c r="BO4" s="105">
        <v>0.0</v>
      </c>
      <c r="BP4" s="106">
        <v>0.0</v>
      </c>
      <c r="BQ4" s="101">
        <f t="shared" si="13"/>
        <v>12219</v>
      </c>
      <c r="BR4" s="107">
        <v>333.0</v>
      </c>
      <c r="BS4" s="108">
        <v>103.0</v>
      </c>
      <c r="BT4" s="108">
        <v>18389.0</v>
      </c>
      <c r="BU4" s="24">
        <f t="shared" si="14"/>
        <v>18825</v>
      </c>
    </row>
    <row r="5" ht="21.0" customHeight="1">
      <c r="A5" s="24" t="s">
        <v>72</v>
      </c>
      <c r="B5" s="33">
        <v>12004.0</v>
      </c>
      <c r="C5" s="30">
        <v>258.0</v>
      </c>
      <c r="D5" s="31">
        <v>67.0</v>
      </c>
      <c r="E5" s="28">
        <f t="shared" si="1"/>
        <v>12329</v>
      </c>
      <c r="F5" s="30">
        <v>2122.0</v>
      </c>
      <c r="G5" s="30">
        <v>2208.0</v>
      </c>
      <c r="H5" s="30">
        <v>1615.0</v>
      </c>
      <c r="I5" s="30">
        <v>1633.0</v>
      </c>
      <c r="J5" s="30">
        <v>1469.0</v>
      </c>
      <c r="K5" s="30">
        <v>1527.0</v>
      </c>
      <c r="L5" s="31">
        <v>1755.0</v>
      </c>
      <c r="M5" s="24">
        <f t="shared" si="2"/>
        <v>12329</v>
      </c>
      <c r="N5" s="30">
        <v>9081.0</v>
      </c>
      <c r="O5" s="31">
        <v>3248.0</v>
      </c>
      <c r="P5" s="24">
        <f t="shared" si="3"/>
        <v>12329</v>
      </c>
      <c r="Q5" s="30">
        <v>10728.0</v>
      </c>
      <c r="R5" s="31">
        <v>1601.0</v>
      </c>
      <c r="S5" s="24">
        <f t="shared" si="4"/>
        <v>12329</v>
      </c>
      <c r="T5" s="30">
        <v>4328.0</v>
      </c>
      <c r="U5" s="30">
        <v>2710.0</v>
      </c>
      <c r="V5" s="30">
        <v>725.0</v>
      </c>
      <c r="W5" s="30">
        <v>1925.0</v>
      </c>
      <c r="X5" s="30">
        <v>2574.0</v>
      </c>
      <c r="Y5" s="30">
        <v>67.0</v>
      </c>
      <c r="Z5" s="31">
        <v>0.0</v>
      </c>
      <c r="AA5" s="24">
        <f t="shared" si="5"/>
        <v>12329</v>
      </c>
      <c r="AB5" s="30">
        <v>5608.0</v>
      </c>
      <c r="AC5" s="30">
        <v>6547.0</v>
      </c>
      <c r="AD5" s="30">
        <v>3466.0</v>
      </c>
      <c r="AE5" s="30">
        <v>2163.0</v>
      </c>
      <c r="AF5" s="30">
        <v>1187.0</v>
      </c>
      <c r="AG5" s="24">
        <f t="shared" si="6"/>
        <v>18971</v>
      </c>
      <c r="AH5" s="30">
        <v>12222.0</v>
      </c>
      <c r="AI5" s="30">
        <v>6749.0</v>
      </c>
      <c r="AJ5" s="24">
        <f t="shared" si="7"/>
        <v>18971</v>
      </c>
      <c r="AK5" s="30">
        <v>10052.0</v>
      </c>
      <c r="AL5" s="30">
        <v>8919.0</v>
      </c>
      <c r="AM5" s="24">
        <f t="shared" si="8"/>
        <v>18971</v>
      </c>
      <c r="AN5" s="30">
        <v>18903.0</v>
      </c>
      <c r="AO5" s="31">
        <v>68.0</v>
      </c>
      <c r="AP5" s="24">
        <f t="shared" si="9"/>
        <v>18971</v>
      </c>
      <c r="AQ5" s="30">
        <v>8893.0</v>
      </c>
      <c r="AR5" s="30">
        <v>5312.0</v>
      </c>
      <c r="AS5" s="30">
        <v>0.0</v>
      </c>
      <c r="AT5" s="30">
        <v>0.0</v>
      </c>
      <c r="AU5" s="31">
        <v>4766.0</v>
      </c>
      <c r="AV5" s="24">
        <f t="shared" si="15"/>
        <v>18971</v>
      </c>
      <c r="AW5" s="29">
        <f t="shared" si="10"/>
        <v>4766</v>
      </c>
      <c r="AX5" s="30">
        <v>10913.0</v>
      </c>
      <c r="AY5" s="31">
        <v>3292.0</v>
      </c>
      <c r="AZ5" s="24">
        <f t="shared" si="11"/>
        <v>18971</v>
      </c>
      <c r="BA5" s="30">
        <v>5403.0</v>
      </c>
      <c r="BB5" s="30">
        <v>2587.0</v>
      </c>
      <c r="BC5" s="30">
        <v>237.0</v>
      </c>
      <c r="BD5" s="30">
        <v>5.0</v>
      </c>
      <c r="BE5" s="30">
        <v>1.0</v>
      </c>
      <c r="BF5" s="30">
        <v>1898.0</v>
      </c>
      <c r="BG5" s="30">
        <v>2198.0</v>
      </c>
      <c r="BH5" s="31">
        <v>0.0</v>
      </c>
      <c r="BI5" s="101">
        <f t="shared" si="12"/>
        <v>12329</v>
      </c>
      <c r="BJ5" s="103">
        <v>1405.0</v>
      </c>
      <c r="BK5" s="104">
        <v>1341.0</v>
      </c>
      <c r="BL5" s="105">
        <v>1676.0</v>
      </c>
      <c r="BM5" s="105">
        <v>3526.0</v>
      </c>
      <c r="BN5" s="105">
        <v>4381.0</v>
      </c>
      <c r="BO5" s="105">
        <v>0.0</v>
      </c>
      <c r="BP5" s="106">
        <v>0.0</v>
      </c>
      <c r="BQ5" s="101">
        <f t="shared" si="13"/>
        <v>12329</v>
      </c>
      <c r="BR5" s="107">
        <v>339.0</v>
      </c>
      <c r="BS5" s="108">
        <v>126.0</v>
      </c>
      <c r="BT5" s="108">
        <v>18506.0</v>
      </c>
      <c r="BU5" s="24">
        <f t="shared" si="14"/>
        <v>18971</v>
      </c>
    </row>
    <row r="6" ht="21.0" customHeight="1">
      <c r="A6" s="34" t="s">
        <v>73</v>
      </c>
      <c r="B6" s="33">
        <v>12988.0</v>
      </c>
      <c r="C6" s="30">
        <v>198.0</v>
      </c>
      <c r="D6" s="31">
        <v>64.0</v>
      </c>
      <c r="E6" s="28">
        <f t="shared" si="1"/>
        <v>13250</v>
      </c>
      <c r="F6" s="30">
        <v>2439.0</v>
      </c>
      <c r="G6" s="30">
        <v>1807.0</v>
      </c>
      <c r="H6" s="30">
        <v>1773.0</v>
      </c>
      <c r="I6" s="30">
        <v>1870.0</v>
      </c>
      <c r="J6" s="30">
        <v>1743.0</v>
      </c>
      <c r="K6" s="30">
        <v>1836.0</v>
      </c>
      <c r="L6" s="31">
        <v>1782.0</v>
      </c>
      <c r="M6" s="24">
        <f t="shared" si="2"/>
        <v>13250</v>
      </c>
      <c r="N6" s="30">
        <v>8349.0</v>
      </c>
      <c r="O6" s="31">
        <v>4901.0</v>
      </c>
      <c r="P6" s="24">
        <f t="shared" si="3"/>
        <v>13250</v>
      </c>
      <c r="Q6" s="30">
        <v>11530.0</v>
      </c>
      <c r="R6" s="31">
        <v>1720.0</v>
      </c>
      <c r="S6" s="24">
        <f t="shared" si="4"/>
        <v>13250</v>
      </c>
      <c r="T6" s="30">
        <v>4643.0</v>
      </c>
      <c r="U6" s="30">
        <v>2873.0</v>
      </c>
      <c r="V6" s="30">
        <v>889.0</v>
      </c>
      <c r="W6" s="30">
        <v>2112.0</v>
      </c>
      <c r="X6" s="30">
        <v>2685.0</v>
      </c>
      <c r="Y6" s="30">
        <v>48.0</v>
      </c>
      <c r="Z6" s="31">
        <v>0.0</v>
      </c>
      <c r="AA6" s="24">
        <f t="shared" si="5"/>
        <v>13250</v>
      </c>
      <c r="AB6" s="30">
        <v>5374.0</v>
      </c>
      <c r="AC6" s="30">
        <v>6291.0</v>
      </c>
      <c r="AD6" s="30">
        <v>3285.0</v>
      </c>
      <c r="AE6" s="30">
        <v>1985.0</v>
      </c>
      <c r="AF6" s="30">
        <v>1058.0</v>
      </c>
      <c r="AG6" s="24">
        <f t="shared" si="6"/>
        <v>17993</v>
      </c>
      <c r="AH6" s="30">
        <v>10247.0</v>
      </c>
      <c r="AI6" s="30">
        <v>7746.0</v>
      </c>
      <c r="AJ6" s="24">
        <f t="shared" si="7"/>
        <v>17993</v>
      </c>
      <c r="AK6" s="30">
        <v>9839.0</v>
      </c>
      <c r="AL6" s="30">
        <v>8154.0</v>
      </c>
      <c r="AM6" s="24">
        <f t="shared" si="8"/>
        <v>17993</v>
      </c>
      <c r="AN6" s="30">
        <v>17932.0</v>
      </c>
      <c r="AO6" s="31">
        <v>61.0</v>
      </c>
      <c r="AP6" s="24">
        <f t="shared" si="9"/>
        <v>17993</v>
      </c>
      <c r="AQ6" s="30">
        <v>8997.0</v>
      </c>
      <c r="AR6" s="30">
        <v>5717.0</v>
      </c>
      <c r="AS6" s="30">
        <v>0.0</v>
      </c>
      <c r="AT6" s="30">
        <v>0.0</v>
      </c>
      <c r="AU6" s="31">
        <v>3279.0</v>
      </c>
      <c r="AV6" s="24">
        <f t="shared" si="15"/>
        <v>17993</v>
      </c>
      <c r="AW6" s="29">
        <f t="shared" si="10"/>
        <v>3279</v>
      </c>
      <c r="AX6" s="30">
        <v>10462.0</v>
      </c>
      <c r="AY6" s="31">
        <v>4252.0</v>
      </c>
      <c r="AZ6" s="24">
        <f t="shared" si="11"/>
        <v>17993</v>
      </c>
      <c r="BA6" s="30">
        <v>8342.0</v>
      </c>
      <c r="BB6" s="30">
        <v>3217.0</v>
      </c>
      <c r="BC6" s="30">
        <v>89.0</v>
      </c>
      <c r="BD6" s="30">
        <v>0.0</v>
      </c>
      <c r="BE6" s="30">
        <v>0.0</v>
      </c>
      <c r="BF6" s="30">
        <v>624.0</v>
      </c>
      <c r="BG6" s="30">
        <v>978.0</v>
      </c>
      <c r="BH6" s="31">
        <v>0.0</v>
      </c>
      <c r="BI6" s="101">
        <f t="shared" si="12"/>
        <v>13250</v>
      </c>
      <c r="BJ6" s="103">
        <v>2194.0</v>
      </c>
      <c r="BK6" s="104">
        <v>2049.0</v>
      </c>
      <c r="BL6" s="105">
        <v>2698.0</v>
      </c>
      <c r="BM6" s="105">
        <v>2943.0</v>
      </c>
      <c r="BN6" s="105">
        <v>3366.0</v>
      </c>
      <c r="BO6" s="105">
        <v>0.0</v>
      </c>
      <c r="BP6" s="106">
        <v>0.0</v>
      </c>
      <c r="BQ6" s="101">
        <f t="shared" si="13"/>
        <v>13250</v>
      </c>
      <c r="BR6" s="107">
        <v>323.0</v>
      </c>
      <c r="BS6" s="108">
        <v>93.0</v>
      </c>
      <c r="BT6" s="108">
        <v>17577.0</v>
      </c>
      <c r="BU6" s="24">
        <f t="shared" si="14"/>
        <v>17993</v>
      </c>
    </row>
    <row r="7" ht="21.0" customHeight="1">
      <c r="A7" s="34" t="s">
        <v>74</v>
      </c>
      <c r="B7" s="33">
        <v>12441.0</v>
      </c>
      <c r="C7" s="30">
        <v>217.0</v>
      </c>
      <c r="D7" s="31">
        <v>96.0</v>
      </c>
      <c r="E7" s="28">
        <f t="shared" si="1"/>
        <v>12754</v>
      </c>
      <c r="F7" s="30">
        <v>1980.0</v>
      </c>
      <c r="G7" s="30">
        <v>1682.0</v>
      </c>
      <c r="H7" s="30">
        <v>1832.0</v>
      </c>
      <c r="I7" s="30">
        <v>1892.0</v>
      </c>
      <c r="J7" s="30">
        <v>1883.0</v>
      </c>
      <c r="K7" s="30">
        <v>1703.0</v>
      </c>
      <c r="L7" s="31">
        <v>1782.0</v>
      </c>
      <c r="M7" s="24">
        <f t="shared" si="2"/>
        <v>12754</v>
      </c>
      <c r="N7" s="30">
        <v>7329.0</v>
      </c>
      <c r="O7" s="31">
        <v>5425.0</v>
      </c>
      <c r="P7" s="24">
        <f t="shared" si="3"/>
        <v>12754</v>
      </c>
      <c r="Q7" s="30">
        <v>10976.0</v>
      </c>
      <c r="R7" s="31">
        <v>1778.0</v>
      </c>
      <c r="S7" s="24">
        <f t="shared" si="4"/>
        <v>12754</v>
      </c>
      <c r="T7" s="30">
        <v>4196.0</v>
      </c>
      <c r="U7" s="30">
        <v>2622.0</v>
      </c>
      <c r="V7" s="30">
        <v>652.0</v>
      </c>
      <c r="W7" s="30">
        <v>23347.0</v>
      </c>
      <c r="X7" s="30">
        <v>2899.0</v>
      </c>
      <c r="Y7" s="30">
        <v>38.0</v>
      </c>
      <c r="Z7" s="31">
        <v>0.0</v>
      </c>
      <c r="AA7" s="24">
        <f t="shared" si="5"/>
        <v>33754</v>
      </c>
      <c r="AB7" s="30">
        <v>5826.0</v>
      </c>
      <c r="AC7" s="30">
        <v>7796.0</v>
      </c>
      <c r="AD7" s="30">
        <v>4946.0</v>
      </c>
      <c r="AE7" s="30">
        <v>2883.0</v>
      </c>
      <c r="AF7" s="30">
        <v>1174.0</v>
      </c>
      <c r="AG7" s="24">
        <f t="shared" si="6"/>
        <v>22625</v>
      </c>
      <c r="AH7" s="30">
        <v>12317.0</v>
      </c>
      <c r="AI7" s="30">
        <v>10308.0</v>
      </c>
      <c r="AJ7" s="24">
        <f t="shared" si="7"/>
        <v>22625</v>
      </c>
      <c r="AK7" s="30">
        <v>13122.0</v>
      </c>
      <c r="AL7" s="30">
        <v>9503.0</v>
      </c>
      <c r="AM7" s="24">
        <f t="shared" si="8"/>
        <v>22625</v>
      </c>
      <c r="AN7" s="30">
        <v>22480.0</v>
      </c>
      <c r="AO7" s="31">
        <v>145.0</v>
      </c>
      <c r="AP7" s="24">
        <f t="shared" si="9"/>
        <v>22625</v>
      </c>
      <c r="AQ7" s="30">
        <v>10371.0</v>
      </c>
      <c r="AR7" s="30">
        <v>6954.0</v>
      </c>
      <c r="AS7" s="30">
        <v>0.0</v>
      </c>
      <c r="AT7" s="30">
        <v>0.0</v>
      </c>
      <c r="AU7" s="31">
        <v>5300.0</v>
      </c>
      <c r="AV7" s="24">
        <f t="shared" si="15"/>
        <v>22625</v>
      </c>
      <c r="AW7" s="29">
        <f t="shared" si="10"/>
        <v>5300</v>
      </c>
      <c r="AX7" s="30">
        <v>12025.0</v>
      </c>
      <c r="AY7" s="31">
        <v>5300.0</v>
      </c>
      <c r="AZ7" s="24">
        <f t="shared" si="11"/>
        <v>22625</v>
      </c>
      <c r="BA7" s="30">
        <v>7252.0</v>
      </c>
      <c r="BB7" s="30">
        <v>3836.0</v>
      </c>
      <c r="BC7" s="30">
        <v>297.0</v>
      </c>
      <c r="BD7" s="30">
        <v>1.0</v>
      </c>
      <c r="BE7" s="30">
        <v>1.0</v>
      </c>
      <c r="BF7" s="30">
        <v>455.0</v>
      </c>
      <c r="BG7" s="30">
        <v>912.0</v>
      </c>
      <c r="BH7" s="31">
        <v>0.0</v>
      </c>
      <c r="BI7" s="101">
        <f t="shared" si="12"/>
        <v>12754</v>
      </c>
      <c r="BJ7" s="103">
        <v>2100.0</v>
      </c>
      <c r="BK7" s="104">
        <v>1360.0</v>
      </c>
      <c r="BL7" s="105">
        <v>2550.0</v>
      </c>
      <c r="BM7" s="105">
        <v>3028.0</v>
      </c>
      <c r="BN7" s="105">
        <v>3716.0</v>
      </c>
      <c r="BO7" s="105">
        <v>0.0</v>
      </c>
      <c r="BP7" s="106">
        <v>0.0</v>
      </c>
      <c r="BQ7" s="101">
        <f t="shared" si="13"/>
        <v>12754</v>
      </c>
      <c r="BR7" s="107">
        <v>343.0</v>
      </c>
      <c r="BS7" s="108">
        <v>114.0</v>
      </c>
      <c r="BT7" s="108">
        <v>32168.0</v>
      </c>
      <c r="BU7" s="24">
        <f t="shared" si="14"/>
        <v>32625</v>
      </c>
    </row>
    <row r="8" ht="21.0" customHeight="1">
      <c r="A8" s="24" t="s">
        <v>75</v>
      </c>
      <c r="B8" s="33">
        <v>12000.0</v>
      </c>
      <c r="C8" s="30">
        <v>248.0</v>
      </c>
      <c r="D8" s="31">
        <v>103.0</v>
      </c>
      <c r="E8" s="28">
        <f t="shared" si="1"/>
        <v>12351</v>
      </c>
      <c r="F8" s="30">
        <v>1721.0</v>
      </c>
      <c r="G8" s="30">
        <v>1736.0</v>
      </c>
      <c r="H8" s="30">
        <v>1548.0</v>
      </c>
      <c r="I8" s="30">
        <v>1842.0</v>
      </c>
      <c r="J8" s="30">
        <v>1863.0</v>
      </c>
      <c r="K8" s="30">
        <v>1946.0</v>
      </c>
      <c r="L8" s="31">
        <v>1695.0</v>
      </c>
      <c r="M8" s="24">
        <f t="shared" si="2"/>
        <v>12351</v>
      </c>
      <c r="N8" s="30">
        <v>5237.0</v>
      </c>
      <c r="O8" s="31">
        <v>7114.0</v>
      </c>
      <c r="P8" s="24">
        <f t="shared" si="3"/>
        <v>12351</v>
      </c>
      <c r="Q8" s="30">
        <v>10442.0</v>
      </c>
      <c r="R8" s="31">
        <v>1909.0</v>
      </c>
      <c r="S8" s="24">
        <f t="shared" si="4"/>
        <v>12351</v>
      </c>
      <c r="T8" s="30">
        <v>5017.0</v>
      </c>
      <c r="U8" s="30">
        <v>2480.0</v>
      </c>
      <c r="V8" s="30">
        <v>567.0</v>
      </c>
      <c r="W8" s="30">
        <v>1995.0</v>
      </c>
      <c r="X8" s="30">
        <v>43.0</v>
      </c>
      <c r="Y8" s="30">
        <v>0.0</v>
      </c>
      <c r="Z8" s="31"/>
      <c r="AA8" s="24">
        <f t="shared" si="5"/>
        <v>10102</v>
      </c>
      <c r="AB8" s="30">
        <v>5267.0</v>
      </c>
      <c r="AC8" s="30">
        <v>7922.0</v>
      </c>
      <c r="AD8" s="30">
        <v>6402.0</v>
      </c>
      <c r="AE8" s="30">
        <v>2716.0</v>
      </c>
      <c r="AF8" s="30">
        <v>1438.0</v>
      </c>
      <c r="AG8" s="24">
        <f t="shared" si="6"/>
        <v>23745</v>
      </c>
      <c r="AH8" s="30">
        <v>13477.0</v>
      </c>
      <c r="AI8" s="30">
        <v>10268.0</v>
      </c>
      <c r="AJ8" s="24">
        <f t="shared" si="7"/>
        <v>23745</v>
      </c>
      <c r="AK8" s="30">
        <v>12893.0</v>
      </c>
      <c r="AL8" s="30">
        <v>10852.0</v>
      </c>
      <c r="AM8" s="24">
        <f t="shared" si="8"/>
        <v>23745</v>
      </c>
      <c r="AN8" s="30">
        <v>23619.0</v>
      </c>
      <c r="AO8" s="31">
        <v>126.0</v>
      </c>
      <c r="AP8" s="24">
        <f t="shared" si="9"/>
        <v>23745</v>
      </c>
      <c r="AQ8" s="30">
        <v>11486.0</v>
      </c>
      <c r="AR8" s="30">
        <v>7426.0</v>
      </c>
      <c r="AS8" s="30">
        <v>0.0</v>
      </c>
      <c r="AT8" s="30">
        <v>0.0</v>
      </c>
      <c r="AU8" s="31">
        <v>4833.0</v>
      </c>
      <c r="AV8" s="24">
        <f t="shared" si="15"/>
        <v>23745</v>
      </c>
      <c r="AW8" s="29">
        <f t="shared" si="10"/>
        <v>4833</v>
      </c>
      <c r="AX8" s="30">
        <v>14386.0</v>
      </c>
      <c r="AY8" s="31">
        <v>4526.0</v>
      </c>
      <c r="AZ8" s="24">
        <f t="shared" si="11"/>
        <v>23745</v>
      </c>
      <c r="BA8" s="30">
        <v>7955.0</v>
      </c>
      <c r="BB8" s="30">
        <v>2740.0</v>
      </c>
      <c r="BC8" s="30">
        <v>267.0</v>
      </c>
      <c r="BD8" s="30">
        <v>3.0</v>
      </c>
      <c r="BE8" s="30">
        <v>2.0</v>
      </c>
      <c r="BF8" s="30">
        <v>485.0</v>
      </c>
      <c r="BG8" s="30">
        <v>899.0</v>
      </c>
      <c r="BH8" s="31">
        <v>0.0</v>
      </c>
      <c r="BI8" s="101">
        <f t="shared" si="12"/>
        <v>12351</v>
      </c>
      <c r="BJ8" s="103">
        <v>2431.0</v>
      </c>
      <c r="BK8" s="104">
        <v>1608.0</v>
      </c>
      <c r="BL8" s="105">
        <v>1694.0</v>
      </c>
      <c r="BM8" s="105">
        <v>3157.0</v>
      </c>
      <c r="BN8" s="105">
        <v>3461.0</v>
      </c>
      <c r="BO8" s="105">
        <v>0.0</v>
      </c>
      <c r="BP8" s="106">
        <v>0.0</v>
      </c>
      <c r="BQ8" s="101">
        <f t="shared" si="13"/>
        <v>12351</v>
      </c>
      <c r="BR8" s="107">
        <v>377.0</v>
      </c>
      <c r="BS8" s="108">
        <v>138.0</v>
      </c>
      <c r="BT8" s="108">
        <v>23230.0</v>
      </c>
      <c r="BU8" s="24">
        <f t="shared" si="14"/>
        <v>23745</v>
      </c>
    </row>
    <row r="9" ht="21.0" customHeight="1">
      <c r="A9" s="24" t="s">
        <v>76</v>
      </c>
      <c r="B9" s="33">
        <v>12456.0</v>
      </c>
      <c r="C9" s="30">
        <v>235.0</v>
      </c>
      <c r="D9" s="31">
        <v>79.0</v>
      </c>
      <c r="E9" s="28">
        <f t="shared" si="1"/>
        <v>12770</v>
      </c>
      <c r="F9" s="30">
        <v>2244.0</v>
      </c>
      <c r="G9" s="30">
        <v>1834.0</v>
      </c>
      <c r="H9" s="30">
        <v>1833.0</v>
      </c>
      <c r="I9" s="30">
        <v>1769.0</v>
      </c>
      <c r="J9" s="30">
        <v>1780.0</v>
      </c>
      <c r="K9" s="30">
        <v>1676.0</v>
      </c>
      <c r="L9" s="31">
        <v>1634.0</v>
      </c>
      <c r="M9" s="24">
        <f t="shared" si="2"/>
        <v>12770</v>
      </c>
      <c r="N9" s="30">
        <v>5608.0</v>
      </c>
      <c r="O9" s="31">
        <v>7162.0</v>
      </c>
      <c r="P9" s="24">
        <f t="shared" si="3"/>
        <v>12770</v>
      </c>
      <c r="Q9" s="30">
        <v>10602.0</v>
      </c>
      <c r="R9" s="31">
        <v>2168.0</v>
      </c>
      <c r="S9" s="24">
        <f t="shared" si="4"/>
        <v>12770</v>
      </c>
      <c r="T9" s="30">
        <v>4901.0</v>
      </c>
      <c r="U9" s="30">
        <v>2366.0</v>
      </c>
      <c r="V9" s="30">
        <v>408.0</v>
      </c>
      <c r="W9" s="30">
        <v>2900.0</v>
      </c>
      <c r="X9" s="30">
        <v>2147.0</v>
      </c>
      <c r="Y9" s="30">
        <v>48.0</v>
      </c>
      <c r="Z9" s="31">
        <v>0.0</v>
      </c>
      <c r="AA9" s="24">
        <f t="shared" si="5"/>
        <v>12770</v>
      </c>
      <c r="AB9" s="30">
        <v>5321.0</v>
      </c>
      <c r="AC9" s="30">
        <v>7847.0</v>
      </c>
      <c r="AD9" s="30">
        <v>6989.0</v>
      </c>
      <c r="AE9" s="30">
        <v>3255.0</v>
      </c>
      <c r="AF9" s="30">
        <v>1691.0</v>
      </c>
      <c r="AG9" s="24">
        <f t="shared" si="6"/>
        <v>25103</v>
      </c>
      <c r="AH9" s="30">
        <v>15388.0</v>
      </c>
      <c r="AI9" s="30">
        <v>9715.0</v>
      </c>
      <c r="AJ9" s="24">
        <f t="shared" si="7"/>
        <v>25103</v>
      </c>
      <c r="AK9" s="30">
        <v>13367.0</v>
      </c>
      <c r="AL9" s="30">
        <v>11736.0</v>
      </c>
      <c r="AM9" s="24">
        <f t="shared" si="8"/>
        <v>25103</v>
      </c>
      <c r="AN9" s="30">
        <v>25005.0</v>
      </c>
      <c r="AO9" s="31">
        <v>98.0</v>
      </c>
      <c r="AP9" s="24">
        <f t="shared" si="9"/>
        <v>25103</v>
      </c>
      <c r="AQ9" s="30">
        <v>13469.0</v>
      </c>
      <c r="AR9" s="30">
        <v>7687.0</v>
      </c>
      <c r="AS9" s="30">
        <v>0.0</v>
      </c>
      <c r="AT9" s="30">
        <v>0.0</v>
      </c>
      <c r="AU9" s="31">
        <v>3947.0</v>
      </c>
      <c r="AV9" s="24">
        <f t="shared" si="15"/>
        <v>25103</v>
      </c>
      <c r="AW9" s="29">
        <f t="shared" si="10"/>
        <v>3947</v>
      </c>
      <c r="AX9" s="30">
        <v>16628.0</v>
      </c>
      <c r="AY9" s="31">
        <v>4528.0</v>
      </c>
      <c r="AZ9" s="24">
        <f t="shared" si="11"/>
        <v>25103</v>
      </c>
      <c r="BA9" s="30">
        <v>8173.0</v>
      </c>
      <c r="BB9" s="30">
        <v>2917.0</v>
      </c>
      <c r="BC9" s="30">
        <v>330.0</v>
      </c>
      <c r="BD9" s="30">
        <v>4.0</v>
      </c>
      <c r="BE9" s="30">
        <v>2.0</v>
      </c>
      <c r="BF9" s="30">
        <v>329.0</v>
      </c>
      <c r="BG9" s="30">
        <v>1015.0</v>
      </c>
      <c r="BH9" s="31">
        <v>0.0</v>
      </c>
      <c r="BI9" s="101">
        <f t="shared" si="12"/>
        <v>12770</v>
      </c>
      <c r="BJ9" s="103">
        <v>1895.0</v>
      </c>
      <c r="BK9" s="104">
        <v>1175.0</v>
      </c>
      <c r="BL9" s="105">
        <v>2462.0</v>
      </c>
      <c r="BM9" s="105">
        <v>3073.0</v>
      </c>
      <c r="BN9" s="105">
        <v>4165.0</v>
      </c>
      <c r="BO9" s="105">
        <v>0.0</v>
      </c>
      <c r="BP9" s="106">
        <v>0.0</v>
      </c>
      <c r="BQ9" s="101">
        <f t="shared" si="13"/>
        <v>12770</v>
      </c>
      <c r="BR9" s="107">
        <v>382.0</v>
      </c>
      <c r="BS9" s="108">
        <v>101.0</v>
      </c>
      <c r="BT9" s="108">
        <v>24620.0</v>
      </c>
      <c r="BU9" s="24">
        <f t="shared" si="14"/>
        <v>25103</v>
      </c>
    </row>
    <row r="10" ht="21.0" customHeight="1">
      <c r="A10" s="24" t="s">
        <v>77</v>
      </c>
      <c r="B10" s="33">
        <v>10475.0</v>
      </c>
      <c r="C10" s="30">
        <v>266.0</v>
      </c>
      <c r="D10" s="31">
        <v>123.0</v>
      </c>
      <c r="E10" s="28">
        <f t="shared" si="1"/>
        <v>10864</v>
      </c>
      <c r="F10" s="30">
        <v>1797.0</v>
      </c>
      <c r="G10" s="30">
        <v>1795.0</v>
      </c>
      <c r="H10" s="30">
        <v>1566.0</v>
      </c>
      <c r="I10" s="30">
        <v>1507.0</v>
      </c>
      <c r="J10" s="30">
        <v>1379.0</v>
      </c>
      <c r="K10" s="30">
        <v>1406.0</v>
      </c>
      <c r="L10" s="31">
        <v>1414.0</v>
      </c>
      <c r="M10" s="24">
        <f>SUM(F10:L10)</f>
        <v>10864</v>
      </c>
      <c r="N10" s="30">
        <v>4763.0</v>
      </c>
      <c r="O10" s="31">
        <v>6101.0</v>
      </c>
      <c r="P10" s="24">
        <f t="shared" si="3"/>
        <v>10864</v>
      </c>
      <c r="Q10" s="30">
        <v>8704.0</v>
      </c>
      <c r="R10" s="31">
        <v>2160.0</v>
      </c>
      <c r="S10" s="24">
        <f t="shared" si="4"/>
        <v>10864</v>
      </c>
      <c r="T10" s="30">
        <v>3703.0</v>
      </c>
      <c r="U10" s="30">
        <v>2947.0</v>
      </c>
      <c r="V10" s="30">
        <v>318.0</v>
      </c>
      <c r="W10" s="30">
        <v>1733.0</v>
      </c>
      <c r="X10" s="30">
        <v>2142.0</v>
      </c>
      <c r="Y10" s="30">
        <v>21.0</v>
      </c>
      <c r="Z10" s="31">
        <v>0.0</v>
      </c>
      <c r="AA10" s="24">
        <f t="shared" si="5"/>
        <v>10864</v>
      </c>
      <c r="AB10" s="30">
        <v>3901.0</v>
      </c>
      <c r="AC10" s="30">
        <v>4618.0</v>
      </c>
      <c r="AD10" s="30">
        <v>6118.0</v>
      </c>
      <c r="AE10" s="30">
        <v>2925.0</v>
      </c>
      <c r="AF10" s="30">
        <v>1948.0</v>
      </c>
      <c r="AG10" s="24">
        <f t="shared" si="6"/>
        <v>19510</v>
      </c>
      <c r="AH10" s="30">
        <v>11527.0</v>
      </c>
      <c r="AI10" s="30">
        <v>7983.0</v>
      </c>
      <c r="AJ10" s="24">
        <f t="shared" si="7"/>
        <v>19510</v>
      </c>
      <c r="AK10" s="30">
        <v>14039.0</v>
      </c>
      <c r="AL10" s="30">
        <v>5471.0</v>
      </c>
      <c r="AM10" s="24">
        <f t="shared" si="8"/>
        <v>19510</v>
      </c>
      <c r="AN10" s="30">
        <v>19434.0</v>
      </c>
      <c r="AO10" s="31">
        <v>76.0</v>
      </c>
      <c r="AP10" s="24">
        <f t="shared" si="9"/>
        <v>19510</v>
      </c>
      <c r="AQ10" s="30">
        <v>11543.0</v>
      </c>
      <c r="AR10" s="30">
        <v>5214.0</v>
      </c>
      <c r="AS10" s="30">
        <v>0.0</v>
      </c>
      <c r="AT10" s="30">
        <v>0.0</v>
      </c>
      <c r="AU10" s="31">
        <v>2753.0</v>
      </c>
      <c r="AV10" s="24">
        <f t="shared" si="15"/>
        <v>19510</v>
      </c>
      <c r="AW10" s="29">
        <f t="shared" si="10"/>
        <v>2753</v>
      </c>
      <c r="AX10" s="30">
        <v>13402.0</v>
      </c>
      <c r="AY10" s="31">
        <v>3355.0</v>
      </c>
      <c r="AZ10" s="24">
        <f t="shared" si="11"/>
        <v>19510</v>
      </c>
      <c r="BA10" s="30">
        <v>5736.0</v>
      </c>
      <c r="BB10" s="30">
        <v>2247.0</v>
      </c>
      <c r="BC10" s="30">
        <v>179.0</v>
      </c>
      <c r="BD10" s="30">
        <v>6.0</v>
      </c>
      <c r="BE10" s="30">
        <v>2.0</v>
      </c>
      <c r="BF10" s="30">
        <v>431.0</v>
      </c>
      <c r="BG10" s="30">
        <v>2263.0</v>
      </c>
      <c r="BH10" s="31">
        <v>0.0</v>
      </c>
      <c r="BI10" s="101">
        <f t="shared" si="12"/>
        <v>10864</v>
      </c>
      <c r="BJ10" s="103">
        <v>1799.0</v>
      </c>
      <c r="BK10" s="104">
        <v>1116.0</v>
      </c>
      <c r="BL10" s="105">
        <v>2124.0</v>
      </c>
      <c r="BM10" s="105">
        <v>2839.0</v>
      </c>
      <c r="BN10" s="105">
        <v>2986.0</v>
      </c>
      <c r="BO10" s="105">
        <v>0.0</v>
      </c>
      <c r="BP10" s="106">
        <v>0.0</v>
      </c>
      <c r="BQ10" s="101">
        <f t="shared" si="13"/>
        <v>10864</v>
      </c>
      <c r="BR10" s="107">
        <v>469.0</v>
      </c>
      <c r="BS10" s="108">
        <v>162.0</v>
      </c>
      <c r="BT10" s="108">
        <v>18879.0</v>
      </c>
      <c r="BU10" s="24">
        <f t="shared" si="14"/>
        <v>19510</v>
      </c>
    </row>
    <row r="11" ht="21.0" customHeight="1">
      <c r="A11" s="24" t="s">
        <v>78</v>
      </c>
      <c r="B11" s="33">
        <v>9204.0</v>
      </c>
      <c r="C11" s="30">
        <v>177.0</v>
      </c>
      <c r="D11" s="31">
        <v>96.0</v>
      </c>
      <c r="E11" s="28">
        <f t="shared" si="1"/>
        <v>9477</v>
      </c>
      <c r="F11" s="30">
        <v>1638.0</v>
      </c>
      <c r="G11" s="30">
        <v>1245.0</v>
      </c>
      <c r="H11" s="30">
        <v>1259.0</v>
      </c>
      <c r="I11" s="30">
        <v>1283.0</v>
      </c>
      <c r="J11" s="30">
        <v>1322.0</v>
      </c>
      <c r="K11" s="30">
        <v>1387.0</v>
      </c>
      <c r="L11" s="31">
        <v>1343.0</v>
      </c>
      <c r="M11" s="24">
        <f t="shared" ref="M11:M14" si="16">F11+G11+H11+I11+J11++K11+L11</f>
        <v>9477</v>
      </c>
      <c r="N11" s="30">
        <v>5912.0</v>
      </c>
      <c r="O11" s="31">
        <v>3565.0</v>
      </c>
      <c r="P11" s="24">
        <f t="shared" si="3"/>
        <v>9477</v>
      </c>
      <c r="Q11" s="30">
        <v>4628.0</v>
      </c>
      <c r="R11" s="31">
        <v>4849.0</v>
      </c>
      <c r="S11" s="24">
        <f t="shared" si="4"/>
        <v>9477</v>
      </c>
      <c r="T11" s="30">
        <v>3812.0</v>
      </c>
      <c r="U11" s="30">
        <v>2652.0</v>
      </c>
      <c r="V11" s="30">
        <v>652.0</v>
      </c>
      <c r="W11" s="30">
        <v>1347.0</v>
      </c>
      <c r="X11" s="30">
        <v>904.0</v>
      </c>
      <c r="Y11" s="30">
        <v>110.0</v>
      </c>
      <c r="Z11" s="31">
        <v>0.0</v>
      </c>
      <c r="AA11" s="24">
        <f t="shared" si="5"/>
        <v>9477</v>
      </c>
      <c r="AB11" s="30">
        <v>2884.0</v>
      </c>
      <c r="AC11" s="30">
        <v>4692.0</v>
      </c>
      <c r="AD11" s="30">
        <v>6548.0</v>
      </c>
      <c r="AE11" s="30">
        <v>3216.0</v>
      </c>
      <c r="AF11" s="30">
        <v>979.0</v>
      </c>
      <c r="AG11" s="24">
        <f t="shared" si="6"/>
        <v>18319</v>
      </c>
      <c r="AH11" s="30">
        <v>10922.0</v>
      </c>
      <c r="AI11" s="30">
        <v>7397.0</v>
      </c>
      <c r="AJ11" s="24">
        <f t="shared" si="7"/>
        <v>18319</v>
      </c>
      <c r="AK11" s="30">
        <v>13611.0</v>
      </c>
      <c r="AL11" s="30">
        <v>4708.0</v>
      </c>
      <c r="AM11" s="24">
        <f t="shared" si="8"/>
        <v>18319</v>
      </c>
      <c r="AN11" s="30">
        <v>18240.0</v>
      </c>
      <c r="AO11" s="31">
        <v>79.0</v>
      </c>
      <c r="AP11" s="24">
        <f t="shared" si="9"/>
        <v>18319</v>
      </c>
      <c r="AQ11" s="30">
        <v>9672.0</v>
      </c>
      <c r="AR11" s="30">
        <v>3219.0</v>
      </c>
      <c r="AS11" s="30">
        <v>0.0</v>
      </c>
      <c r="AT11" s="30">
        <v>0.0</v>
      </c>
      <c r="AU11" s="31">
        <v>5428.0</v>
      </c>
      <c r="AV11" s="24">
        <f t="shared" si="15"/>
        <v>18319</v>
      </c>
      <c r="AW11" s="29">
        <f t="shared" si="10"/>
        <v>5428</v>
      </c>
      <c r="AX11" s="30">
        <v>10263.0</v>
      </c>
      <c r="AY11" s="31">
        <v>2628.0</v>
      </c>
      <c r="AZ11" s="24">
        <f t="shared" si="11"/>
        <v>18319</v>
      </c>
      <c r="BA11" s="30">
        <v>5352.0</v>
      </c>
      <c r="BB11" s="30">
        <v>2819.0</v>
      </c>
      <c r="BC11" s="30">
        <v>397.0</v>
      </c>
      <c r="BD11" s="30">
        <v>1.0</v>
      </c>
      <c r="BE11" s="30">
        <v>1.0</v>
      </c>
      <c r="BF11" s="30">
        <v>403.0</v>
      </c>
      <c r="BG11" s="30">
        <v>504.0</v>
      </c>
      <c r="BH11" s="31">
        <v>0.0</v>
      </c>
      <c r="BI11" s="101">
        <f t="shared" si="12"/>
        <v>9477</v>
      </c>
      <c r="BJ11" s="103">
        <v>1914.0</v>
      </c>
      <c r="BK11" s="104">
        <v>1760.0</v>
      </c>
      <c r="BL11" s="105">
        <v>2411.0</v>
      </c>
      <c r="BM11" s="105">
        <v>1829.0</v>
      </c>
      <c r="BN11" s="105">
        <v>1563.0</v>
      </c>
      <c r="BO11" s="105">
        <v>0.0</v>
      </c>
      <c r="BP11" s="106">
        <v>0.0</v>
      </c>
      <c r="BQ11" s="101">
        <f t="shared" si="13"/>
        <v>9477</v>
      </c>
      <c r="BR11" s="107">
        <v>349.0</v>
      </c>
      <c r="BS11" s="108">
        <v>128.0</v>
      </c>
      <c r="BT11" s="108">
        <v>17842.0</v>
      </c>
      <c r="BU11" s="24">
        <f t="shared" si="14"/>
        <v>18319</v>
      </c>
    </row>
    <row r="12" ht="21.0" customHeight="1">
      <c r="A12" s="24" t="s">
        <v>79</v>
      </c>
      <c r="B12" s="33">
        <v>10022.0</v>
      </c>
      <c r="C12" s="30">
        <v>171.0</v>
      </c>
      <c r="D12" s="31">
        <v>98.0</v>
      </c>
      <c r="E12" s="28">
        <f t="shared" si="1"/>
        <v>10291</v>
      </c>
      <c r="F12" s="30">
        <v>1597.0</v>
      </c>
      <c r="G12" s="30">
        <v>1132.0</v>
      </c>
      <c r="H12" s="30">
        <v>1642.0</v>
      </c>
      <c r="I12" s="30">
        <v>1324.0</v>
      </c>
      <c r="J12" s="30">
        <v>1827.0</v>
      </c>
      <c r="K12" s="30">
        <v>1755.0</v>
      </c>
      <c r="L12" s="31">
        <v>1014.0</v>
      </c>
      <c r="M12" s="24">
        <f t="shared" si="16"/>
        <v>10291</v>
      </c>
      <c r="N12" s="30">
        <v>6181.0</v>
      </c>
      <c r="O12" s="31">
        <v>4110.0</v>
      </c>
      <c r="P12" s="24">
        <f t="shared" si="3"/>
        <v>10291</v>
      </c>
      <c r="Q12" s="30">
        <v>7331.0</v>
      </c>
      <c r="R12" s="31">
        <v>2960.0</v>
      </c>
      <c r="S12" s="24">
        <f t="shared" si="4"/>
        <v>10291</v>
      </c>
      <c r="T12" s="30">
        <v>3196.0</v>
      </c>
      <c r="U12" s="30">
        <v>2122.0</v>
      </c>
      <c r="V12" s="30">
        <v>752.0</v>
      </c>
      <c r="W12" s="30">
        <v>2347.0</v>
      </c>
      <c r="X12" s="30">
        <v>1699.0</v>
      </c>
      <c r="Y12" s="30">
        <v>175.0</v>
      </c>
      <c r="Z12" s="31">
        <v>0.0</v>
      </c>
      <c r="AA12" s="24">
        <f t="shared" si="5"/>
        <v>10291</v>
      </c>
      <c r="AB12" s="30">
        <v>2514.0</v>
      </c>
      <c r="AC12" s="30">
        <v>7174.0</v>
      </c>
      <c r="AD12" s="30">
        <v>6547.0</v>
      </c>
      <c r="AE12" s="30">
        <v>3893.0</v>
      </c>
      <c r="AF12" s="30">
        <v>2497.0</v>
      </c>
      <c r="AG12" s="24">
        <f t="shared" si="6"/>
        <v>22625</v>
      </c>
      <c r="AH12" s="30">
        <v>13217.0</v>
      </c>
      <c r="AI12" s="30">
        <v>9408.0</v>
      </c>
      <c r="AJ12" s="24">
        <f t="shared" si="7"/>
        <v>22625</v>
      </c>
      <c r="AK12" s="30">
        <v>14133.0</v>
      </c>
      <c r="AL12" s="30">
        <v>8492.0</v>
      </c>
      <c r="AM12" s="24">
        <f t="shared" si="8"/>
        <v>22625</v>
      </c>
      <c r="AN12" s="30">
        <v>22361.0</v>
      </c>
      <c r="AO12" s="31">
        <v>264.0</v>
      </c>
      <c r="AP12" s="24">
        <f t="shared" si="9"/>
        <v>22625</v>
      </c>
      <c r="AQ12" s="30">
        <v>10371.0</v>
      </c>
      <c r="AR12" s="30">
        <v>6954.0</v>
      </c>
      <c r="AS12" s="30">
        <v>0.0</v>
      </c>
      <c r="AT12" s="30">
        <v>0.0</v>
      </c>
      <c r="AU12" s="31">
        <v>5300.0</v>
      </c>
      <c r="AV12" s="24">
        <f t="shared" si="15"/>
        <v>22625</v>
      </c>
      <c r="AW12" s="29">
        <f t="shared" si="10"/>
        <v>5300</v>
      </c>
      <c r="AX12" s="30">
        <v>13457.0</v>
      </c>
      <c r="AY12" s="31">
        <v>3868.0</v>
      </c>
      <c r="AZ12" s="24">
        <f t="shared" si="11"/>
        <v>22625</v>
      </c>
      <c r="BA12" s="30">
        <v>5242.0</v>
      </c>
      <c r="BB12" s="30">
        <v>3533.0</v>
      </c>
      <c r="BC12" s="30">
        <v>297.0</v>
      </c>
      <c r="BD12" s="30">
        <v>1.0</v>
      </c>
      <c r="BE12" s="30">
        <v>1.0</v>
      </c>
      <c r="BF12" s="30">
        <v>445.0</v>
      </c>
      <c r="BG12" s="30">
        <v>772.0</v>
      </c>
      <c r="BH12" s="31">
        <v>0.0</v>
      </c>
      <c r="BI12" s="101">
        <v>10291.0</v>
      </c>
      <c r="BJ12" s="103">
        <v>1924.0</v>
      </c>
      <c r="BK12" s="104">
        <v>1260.0</v>
      </c>
      <c r="BL12" s="105">
        <v>2486.0</v>
      </c>
      <c r="BM12" s="105">
        <v>2738.0</v>
      </c>
      <c r="BN12" s="105">
        <v>1883.0</v>
      </c>
      <c r="BO12" s="105">
        <v>0.0</v>
      </c>
      <c r="BP12" s="106">
        <v>0.0</v>
      </c>
      <c r="BQ12" s="101">
        <f t="shared" si="13"/>
        <v>10291</v>
      </c>
      <c r="BR12" s="107">
        <v>276.0</v>
      </c>
      <c r="BS12" s="108">
        <v>126.0</v>
      </c>
      <c r="BT12" s="108">
        <v>22223.0</v>
      </c>
      <c r="BU12" s="24">
        <f t="shared" si="14"/>
        <v>22625</v>
      </c>
    </row>
    <row r="13" ht="21.0" customHeight="1">
      <c r="A13" s="24" t="s">
        <v>80</v>
      </c>
      <c r="B13" s="35">
        <v>8688.0</v>
      </c>
      <c r="C13" s="36">
        <v>203.0</v>
      </c>
      <c r="D13" s="37">
        <v>102.0</v>
      </c>
      <c r="E13" s="28">
        <f t="shared" si="1"/>
        <v>8993</v>
      </c>
      <c r="F13" s="36">
        <v>1559.0</v>
      </c>
      <c r="G13" s="36">
        <v>1295.0</v>
      </c>
      <c r="H13" s="36">
        <v>1244.0</v>
      </c>
      <c r="I13" s="36">
        <v>1272.0</v>
      </c>
      <c r="J13" s="36">
        <v>1125.0</v>
      </c>
      <c r="K13" s="36">
        <v>1313.0</v>
      </c>
      <c r="L13" s="37">
        <v>1185.0</v>
      </c>
      <c r="M13" s="24">
        <f t="shared" si="16"/>
        <v>8993</v>
      </c>
      <c r="N13" s="36">
        <v>4701.0</v>
      </c>
      <c r="O13" s="37">
        <v>4292.0</v>
      </c>
      <c r="P13" s="24">
        <f t="shared" si="3"/>
        <v>8993</v>
      </c>
      <c r="Q13" s="30">
        <v>5114.0</v>
      </c>
      <c r="R13" s="31">
        <v>3879.0</v>
      </c>
      <c r="S13" s="24">
        <f t="shared" si="4"/>
        <v>8993</v>
      </c>
      <c r="T13" s="30">
        <v>2420.0</v>
      </c>
      <c r="U13" s="30">
        <v>1849.0</v>
      </c>
      <c r="V13" s="30">
        <v>631.0</v>
      </c>
      <c r="W13" s="30">
        <v>1921.0</v>
      </c>
      <c r="X13" s="30">
        <v>1190.0</v>
      </c>
      <c r="Y13" s="30">
        <v>982.0</v>
      </c>
      <c r="Z13" s="31">
        <v>0.0</v>
      </c>
      <c r="AA13" s="24">
        <f t="shared" si="5"/>
        <v>8993</v>
      </c>
      <c r="AB13" s="30">
        <v>2479.0</v>
      </c>
      <c r="AC13" s="30">
        <v>3960.0</v>
      </c>
      <c r="AD13" s="30">
        <v>4516.0</v>
      </c>
      <c r="AE13" s="30">
        <v>3142.0</v>
      </c>
      <c r="AF13" s="30">
        <v>2232.0</v>
      </c>
      <c r="AG13" s="24">
        <f t="shared" si="6"/>
        <v>16329</v>
      </c>
      <c r="AH13" s="30">
        <v>9418.0</v>
      </c>
      <c r="AI13" s="30">
        <v>6911.0</v>
      </c>
      <c r="AJ13" s="24">
        <f t="shared" si="7"/>
        <v>16329</v>
      </c>
      <c r="AK13" s="30">
        <v>12611.0</v>
      </c>
      <c r="AL13" s="30">
        <v>3718.0</v>
      </c>
      <c r="AM13" s="24">
        <f t="shared" si="8"/>
        <v>16329</v>
      </c>
      <c r="AN13" s="30">
        <v>16261.0</v>
      </c>
      <c r="AO13" s="31">
        <v>68.0</v>
      </c>
      <c r="AP13" s="24">
        <f t="shared" si="9"/>
        <v>16329</v>
      </c>
      <c r="AQ13" s="30">
        <v>9481.0</v>
      </c>
      <c r="AR13" s="30">
        <v>2116.0</v>
      </c>
      <c r="AS13" s="30">
        <v>0.0</v>
      </c>
      <c r="AT13" s="30">
        <v>0.0</v>
      </c>
      <c r="AU13" s="31">
        <v>4732.0</v>
      </c>
      <c r="AV13" s="24">
        <f t="shared" si="15"/>
        <v>16329</v>
      </c>
      <c r="AW13" s="29">
        <f t="shared" si="10"/>
        <v>4732</v>
      </c>
      <c r="AX13" s="30">
        <v>10291.0</v>
      </c>
      <c r="AY13" s="31">
        <v>1306.0</v>
      </c>
      <c r="AZ13" s="24">
        <f t="shared" si="11"/>
        <v>16329</v>
      </c>
      <c r="BA13" s="30">
        <v>4901.0</v>
      </c>
      <c r="BB13" s="30">
        <v>2924.0</v>
      </c>
      <c r="BC13" s="30">
        <v>559.0</v>
      </c>
      <c r="BD13" s="30">
        <v>1.0</v>
      </c>
      <c r="BE13" s="30">
        <v>0.0</v>
      </c>
      <c r="BF13" s="30">
        <v>325.0</v>
      </c>
      <c r="BG13" s="30">
        <v>283.0</v>
      </c>
      <c r="BH13" s="31">
        <v>0.0</v>
      </c>
      <c r="BI13" s="101">
        <f>SUM(BA13:BH13)</f>
        <v>8993</v>
      </c>
      <c r="BJ13" s="103">
        <v>1194.0</v>
      </c>
      <c r="BK13" s="109">
        <v>1921.0</v>
      </c>
      <c r="BL13" s="110">
        <v>2215.0</v>
      </c>
      <c r="BM13" s="110">
        <v>1529.0</v>
      </c>
      <c r="BN13" s="110">
        <v>2134.0</v>
      </c>
      <c r="BO13" s="110">
        <v>0.0</v>
      </c>
      <c r="BP13" s="111">
        <v>0.0</v>
      </c>
      <c r="BQ13" s="101">
        <f t="shared" si="13"/>
        <v>8993</v>
      </c>
      <c r="BR13" s="107">
        <v>368.0</v>
      </c>
      <c r="BS13" s="108">
        <v>140.0</v>
      </c>
      <c r="BT13" s="108">
        <v>15821.0</v>
      </c>
      <c r="BU13" s="24">
        <f t="shared" si="14"/>
        <v>16329</v>
      </c>
    </row>
    <row r="14" ht="21.0" customHeight="1">
      <c r="A14" s="24" t="s">
        <v>47</v>
      </c>
      <c r="B14" s="40">
        <f t="shared" ref="B14:L14" si="17">SUM(B2:B13)</f>
        <v>138160</v>
      </c>
      <c r="C14" s="41">
        <f t="shared" si="17"/>
        <v>2562</v>
      </c>
      <c r="D14" s="41">
        <f t="shared" si="17"/>
        <v>1014</v>
      </c>
      <c r="E14" s="42">
        <f t="shared" si="17"/>
        <v>141736</v>
      </c>
      <c r="F14" s="41">
        <f t="shared" si="17"/>
        <v>22835</v>
      </c>
      <c r="G14" s="41">
        <f t="shared" si="17"/>
        <v>20731</v>
      </c>
      <c r="H14" s="41">
        <f t="shared" si="17"/>
        <v>19900</v>
      </c>
      <c r="I14" s="41">
        <f t="shared" si="17"/>
        <v>19363</v>
      </c>
      <c r="J14" s="41">
        <f t="shared" si="17"/>
        <v>20422</v>
      </c>
      <c r="K14" s="41">
        <f t="shared" si="17"/>
        <v>20318</v>
      </c>
      <c r="L14" s="41">
        <f t="shared" si="17"/>
        <v>18167</v>
      </c>
      <c r="M14" s="24">
        <f t="shared" si="16"/>
        <v>141736</v>
      </c>
      <c r="N14" s="41">
        <f t="shared" ref="N14:BU14" si="18">SUM(N2:N13)</f>
        <v>84038</v>
      </c>
      <c r="O14" s="41">
        <f t="shared" si="18"/>
        <v>57698</v>
      </c>
      <c r="P14" s="24">
        <f t="shared" si="18"/>
        <v>141736</v>
      </c>
      <c r="Q14" s="41">
        <f t="shared" si="18"/>
        <v>114408</v>
      </c>
      <c r="R14" s="43">
        <f t="shared" si="18"/>
        <v>27328</v>
      </c>
      <c r="S14" s="24">
        <f t="shared" si="18"/>
        <v>141736</v>
      </c>
      <c r="T14" s="41">
        <f t="shared" si="18"/>
        <v>51466</v>
      </c>
      <c r="U14" s="41">
        <f t="shared" si="18"/>
        <v>30344</v>
      </c>
      <c r="V14" s="41">
        <f t="shared" si="18"/>
        <v>7292</v>
      </c>
      <c r="W14" s="41">
        <f t="shared" si="18"/>
        <v>45675</v>
      </c>
      <c r="X14" s="41">
        <f t="shared" si="18"/>
        <v>23847</v>
      </c>
      <c r="Y14" s="41">
        <f t="shared" si="18"/>
        <v>1863</v>
      </c>
      <c r="Z14" s="41">
        <f t="shared" si="18"/>
        <v>0</v>
      </c>
      <c r="AA14" s="24">
        <f t="shared" si="18"/>
        <v>160487</v>
      </c>
      <c r="AB14" s="24">
        <f t="shared" si="18"/>
        <v>54278</v>
      </c>
      <c r="AC14" s="41">
        <f t="shared" si="18"/>
        <v>77581</v>
      </c>
      <c r="AD14" s="41">
        <f t="shared" si="18"/>
        <v>58833</v>
      </c>
      <c r="AE14" s="41">
        <f t="shared" si="18"/>
        <v>34394</v>
      </c>
      <c r="AF14" s="41">
        <f t="shared" si="18"/>
        <v>17569</v>
      </c>
      <c r="AG14" s="24">
        <f t="shared" si="18"/>
        <v>242655</v>
      </c>
      <c r="AH14" s="41">
        <f t="shared" si="18"/>
        <v>152034</v>
      </c>
      <c r="AI14" s="41">
        <f t="shared" si="18"/>
        <v>90621</v>
      </c>
      <c r="AJ14" s="24">
        <f t="shared" si="18"/>
        <v>242655</v>
      </c>
      <c r="AK14" s="41">
        <f t="shared" si="18"/>
        <v>146119</v>
      </c>
      <c r="AL14" s="41">
        <f t="shared" si="18"/>
        <v>96536</v>
      </c>
      <c r="AM14" s="24">
        <f t="shared" si="18"/>
        <v>242655</v>
      </c>
      <c r="AN14" s="41">
        <f t="shared" si="18"/>
        <v>240932</v>
      </c>
      <c r="AO14" s="43">
        <f t="shared" si="18"/>
        <v>1723</v>
      </c>
      <c r="AP14" s="24">
        <f t="shared" si="18"/>
        <v>242655</v>
      </c>
      <c r="AQ14" s="41">
        <f t="shared" si="18"/>
        <v>119991</v>
      </c>
      <c r="AR14" s="41">
        <f t="shared" si="18"/>
        <v>63619</v>
      </c>
      <c r="AS14" s="41">
        <f t="shared" si="18"/>
        <v>0</v>
      </c>
      <c r="AT14" s="41">
        <f t="shared" si="18"/>
        <v>0</v>
      </c>
      <c r="AU14" s="43">
        <f t="shared" si="18"/>
        <v>59045</v>
      </c>
      <c r="AV14" s="24">
        <f t="shared" si="18"/>
        <v>242655</v>
      </c>
      <c r="AW14" s="40">
        <f t="shared" si="18"/>
        <v>59045</v>
      </c>
      <c r="AX14" s="41">
        <f t="shared" si="18"/>
        <v>142600</v>
      </c>
      <c r="AY14" s="43">
        <f t="shared" si="18"/>
        <v>41010</v>
      </c>
      <c r="AZ14" s="24">
        <f t="shared" si="18"/>
        <v>242655</v>
      </c>
      <c r="BA14" s="44">
        <f t="shared" si="18"/>
        <v>76959</v>
      </c>
      <c r="BB14" s="44">
        <f t="shared" si="18"/>
        <v>35543</v>
      </c>
      <c r="BC14" s="44">
        <f t="shared" si="18"/>
        <v>3240</v>
      </c>
      <c r="BD14" s="44">
        <f t="shared" si="18"/>
        <v>24</v>
      </c>
      <c r="BE14" s="44">
        <f t="shared" si="18"/>
        <v>10</v>
      </c>
      <c r="BF14" s="44">
        <f t="shared" si="18"/>
        <v>10303</v>
      </c>
      <c r="BG14" s="44">
        <f t="shared" si="18"/>
        <v>15657</v>
      </c>
      <c r="BH14" s="112">
        <f t="shared" si="18"/>
        <v>0</v>
      </c>
      <c r="BI14" s="101">
        <f t="shared" si="18"/>
        <v>141736</v>
      </c>
      <c r="BJ14" s="101">
        <f t="shared" si="18"/>
        <v>22351</v>
      </c>
      <c r="BK14" s="113">
        <f t="shared" si="18"/>
        <v>20055</v>
      </c>
      <c r="BL14" s="101">
        <f t="shared" si="18"/>
        <v>29074</v>
      </c>
      <c r="BM14" s="101">
        <f t="shared" si="18"/>
        <v>32534</v>
      </c>
      <c r="BN14" s="101">
        <f t="shared" si="18"/>
        <v>37722</v>
      </c>
      <c r="BO14" s="101">
        <f t="shared" si="18"/>
        <v>0</v>
      </c>
      <c r="BP14" s="101">
        <f t="shared" si="18"/>
        <v>0</v>
      </c>
      <c r="BQ14" s="101">
        <f t="shared" si="18"/>
        <v>141736</v>
      </c>
      <c r="BR14" s="42">
        <f t="shared" si="18"/>
        <v>4207</v>
      </c>
      <c r="BS14" s="24">
        <f t="shared" si="18"/>
        <v>1430</v>
      </c>
      <c r="BT14" s="24">
        <f t="shared" si="18"/>
        <v>247018</v>
      </c>
      <c r="BU14" s="24">
        <f t="shared" si="18"/>
        <v>252655</v>
      </c>
    </row>
    <row r="15" ht="12.75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3" width="8.0"/>
  </cols>
  <sheetData>
    <row r="1" ht="124.5" customHeight="1">
      <c r="A1" s="2" t="s">
        <v>1</v>
      </c>
      <c r="B1" s="3" t="s">
        <v>2</v>
      </c>
      <c r="C1" s="3" t="s">
        <v>3</v>
      </c>
      <c r="D1" s="4" t="s">
        <v>4</v>
      </c>
      <c r="E1" s="5" t="s">
        <v>5</v>
      </c>
      <c r="F1" s="2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6" t="s">
        <v>13</v>
      </c>
      <c r="N1" s="2" t="s">
        <v>14</v>
      </c>
      <c r="O1" s="3" t="s">
        <v>15</v>
      </c>
      <c r="P1" s="6" t="s">
        <v>16</v>
      </c>
      <c r="Q1" s="2" t="s">
        <v>17</v>
      </c>
      <c r="R1" s="3" t="s">
        <v>18</v>
      </c>
      <c r="S1" s="6" t="s">
        <v>19</v>
      </c>
      <c r="T1" s="2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6" t="s">
        <v>27</v>
      </c>
      <c r="AB1" s="2">
        <v>-18.0</v>
      </c>
      <c r="AC1" s="3" t="s">
        <v>28</v>
      </c>
      <c r="AD1" s="3" t="s">
        <v>29</v>
      </c>
      <c r="AE1" s="3" t="s">
        <v>30</v>
      </c>
      <c r="AF1" s="3" t="s">
        <v>31</v>
      </c>
      <c r="AG1" s="6" t="s">
        <v>32</v>
      </c>
      <c r="AH1" s="2" t="s">
        <v>33</v>
      </c>
      <c r="AI1" s="3" t="s">
        <v>34</v>
      </c>
      <c r="AJ1" s="6" t="s">
        <v>35</v>
      </c>
      <c r="AK1" s="2" t="s">
        <v>36</v>
      </c>
      <c r="AL1" s="3" t="s">
        <v>37</v>
      </c>
      <c r="AM1" s="6" t="s">
        <v>38</v>
      </c>
      <c r="AN1" s="2" t="s">
        <v>39</v>
      </c>
      <c r="AO1" s="3" t="s">
        <v>40</v>
      </c>
      <c r="AP1" s="6" t="s">
        <v>41</v>
      </c>
      <c r="AQ1" s="2" t="s">
        <v>42</v>
      </c>
      <c r="AR1" s="3" t="s">
        <v>43</v>
      </c>
      <c r="AS1" s="3" t="s">
        <v>44</v>
      </c>
      <c r="AT1" s="3" t="s">
        <v>45</v>
      </c>
      <c r="AU1" s="7" t="s">
        <v>46</v>
      </c>
      <c r="AV1" s="8" t="s">
        <v>47</v>
      </c>
      <c r="AW1" s="9" t="s">
        <v>46</v>
      </c>
      <c r="AX1" s="3" t="s">
        <v>48</v>
      </c>
      <c r="AY1" s="3" t="s">
        <v>49</v>
      </c>
      <c r="AZ1" s="10" t="s">
        <v>47</v>
      </c>
      <c r="BA1" s="11" t="s">
        <v>50</v>
      </c>
      <c r="BB1" s="12" t="s">
        <v>51</v>
      </c>
      <c r="BC1" s="12" t="s">
        <v>52</v>
      </c>
      <c r="BD1" s="12" t="s">
        <v>53</v>
      </c>
      <c r="BE1" s="13" t="s">
        <v>54</v>
      </c>
      <c r="BF1" s="14" t="s">
        <v>55</v>
      </c>
      <c r="BG1" s="14" t="s">
        <v>56</v>
      </c>
      <c r="BH1" s="15" t="s">
        <v>57</v>
      </c>
      <c r="BI1" s="16" t="s">
        <v>47</v>
      </c>
      <c r="BJ1" s="16" t="s">
        <v>58</v>
      </c>
      <c r="BK1" s="17" t="s">
        <v>59</v>
      </c>
      <c r="BL1" s="18" t="s">
        <v>60</v>
      </c>
      <c r="BM1" s="18" t="s">
        <v>61</v>
      </c>
      <c r="BN1" s="18" t="s">
        <v>62</v>
      </c>
      <c r="BO1" s="18" t="s">
        <v>63</v>
      </c>
      <c r="BP1" s="18" t="s">
        <v>26</v>
      </c>
      <c r="BQ1" s="19" t="s">
        <v>64</v>
      </c>
      <c r="BR1" s="20" t="s">
        <v>65</v>
      </c>
      <c r="BS1" s="21" t="s">
        <v>66</v>
      </c>
      <c r="BT1" s="18" t="s">
        <v>67</v>
      </c>
      <c r="BU1" s="22" t="s">
        <v>68</v>
      </c>
    </row>
    <row r="2" ht="21.0" customHeight="1">
      <c r="A2" s="24" t="s">
        <v>69</v>
      </c>
      <c r="B2" s="114">
        <v>1009.0</v>
      </c>
      <c r="C2" s="115">
        <v>204.0</v>
      </c>
      <c r="D2" s="116">
        <v>42.0</v>
      </c>
      <c r="E2" s="28">
        <f t="shared" ref="E2:E13" si="1">SUM(B2:D2)</f>
        <v>1255</v>
      </c>
      <c r="F2" s="26">
        <v>217.0</v>
      </c>
      <c r="G2" s="26">
        <v>191.0</v>
      </c>
      <c r="H2" s="26">
        <v>201.0</v>
      </c>
      <c r="I2" s="26">
        <v>117.0</v>
      </c>
      <c r="J2" s="26">
        <v>154.0</v>
      </c>
      <c r="K2" s="26">
        <v>192.0</v>
      </c>
      <c r="L2" s="27">
        <v>183.0</v>
      </c>
      <c r="M2" s="24">
        <f t="shared" ref="M2:M10" si="2">F2+G2+H2+I2+J2+K2+L2</f>
        <v>1255</v>
      </c>
      <c r="N2" s="26">
        <v>650.0</v>
      </c>
      <c r="O2" s="27">
        <v>605.0</v>
      </c>
      <c r="P2" s="24">
        <f t="shared" ref="P2:P13" si="3">SUM(N2:O2)</f>
        <v>1255</v>
      </c>
      <c r="Q2" s="26">
        <v>690.0</v>
      </c>
      <c r="R2" s="27">
        <v>565.0</v>
      </c>
      <c r="S2" s="24">
        <f t="shared" ref="S2:S13" si="4">SUM(Q2:R2)</f>
        <v>1255</v>
      </c>
      <c r="T2" s="26">
        <v>791.0</v>
      </c>
      <c r="U2" s="26">
        <v>233.0</v>
      </c>
      <c r="V2" s="26">
        <v>152.0</v>
      </c>
      <c r="W2" s="26">
        <v>510.0</v>
      </c>
      <c r="X2" s="26">
        <v>307.0</v>
      </c>
      <c r="Y2" s="26">
        <v>58.0</v>
      </c>
      <c r="Z2" s="27">
        <v>459.0</v>
      </c>
      <c r="AA2" s="24">
        <f t="shared" ref="AA2:AA13" si="5">SUM(T2:Z2)</f>
        <v>2510</v>
      </c>
      <c r="AB2" s="26">
        <v>231.0</v>
      </c>
      <c r="AC2" s="26">
        <v>771.0</v>
      </c>
      <c r="AD2" s="26">
        <v>571.0</v>
      </c>
      <c r="AE2" s="26">
        <v>657.0</v>
      </c>
      <c r="AF2" s="26">
        <v>280.0</v>
      </c>
      <c r="AG2" s="24">
        <f t="shared" ref="AG2:AG13" si="6">SUM(AB2:AF2)</f>
        <v>2510</v>
      </c>
      <c r="AH2" s="26">
        <v>1120.0</v>
      </c>
      <c r="AI2" s="26">
        <v>1390.0</v>
      </c>
      <c r="AJ2" s="24">
        <f t="shared" ref="AJ2:AJ13" si="7">SUM(AH2:AI2)</f>
        <v>2510</v>
      </c>
      <c r="AK2" s="26">
        <v>1820.0</v>
      </c>
      <c r="AL2" s="26">
        <v>690.0</v>
      </c>
      <c r="AM2" s="24">
        <f t="shared" ref="AM2:AM13" si="8">SUM(AK2:AL2)</f>
        <v>2510</v>
      </c>
      <c r="AN2" s="26">
        <v>2350.0</v>
      </c>
      <c r="AO2" s="27">
        <v>160.0</v>
      </c>
      <c r="AP2" s="24">
        <f t="shared" ref="AP2:AP13" si="9">SUM(AN2:AO2)</f>
        <v>2510</v>
      </c>
      <c r="AQ2" s="26">
        <v>1810.0</v>
      </c>
      <c r="AR2" s="26">
        <v>275.0</v>
      </c>
      <c r="AS2" s="26">
        <v>118.0</v>
      </c>
      <c r="AT2" s="26">
        <v>97.0</v>
      </c>
      <c r="AU2" s="27">
        <v>210.0</v>
      </c>
      <c r="AV2" s="24">
        <f>+AQ2+AR2+AS2+AT2+AU2</f>
        <v>2510</v>
      </c>
      <c r="AW2" s="29">
        <f t="shared" ref="AW2:AW13" si="10">AU2</f>
        <v>210</v>
      </c>
      <c r="AX2" s="26">
        <v>1873.0</v>
      </c>
      <c r="AY2" s="27">
        <v>427.0</v>
      </c>
      <c r="AZ2" s="24">
        <f t="shared" ref="AZ2:AZ13" si="11">SUM(AW2:AY2)</f>
        <v>2510</v>
      </c>
      <c r="BA2" s="30">
        <v>717.0</v>
      </c>
      <c r="BB2" s="30">
        <v>14.0</v>
      </c>
      <c r="BC2" s="30">
        <v>107.0</v>
      </c>
      <c r="BD2" s="30">
        <v>11.0</v>
      </c>
      <c r="BE2" s="30">
        <v>2.0</v>
      </c>
      <c r="BF2" s="30">
        <v>93.0</v>
      </c>
      <c r="BG2" s="30">
        <v>86.0</v>
      </c>
      <c r="BH2" s="31">
        <v>225.0</v>
      </c>
      <c r="BI2" s="24">
        <f t="shared" ref="BI2:BI13" si="12">SUM(BA2:BH2)</f>
        <v>1255</v>
      </c>
      <c r="BJ2" s="30">
        <v>88.0</v>
      </c>
      <c r="BK2" s="30">
        <v>112.0</v>
      </c>
      <c r="BL2" s="30">
        <v>307.0</v>
      </c>
      <c r="BM2" s="30">
        <v>141.0</v>
      </c>
      <c r="BN2" s="30">
        <v>477.0</v>
      </c>
      <c r="BO2" s="30">
        <v>0.0</v>
      </c>
      <c r="BP2" s="31">
        <v>130.0</v>
      </c>
      <c r="BQ2" s="24">
        <f t="shared" ref="BQ2:BQ13" si="13">SUM(BJ2:BP2)</f>
        <v>1255</v>
      </c>
      <c r="BR2" s="32">
        <v>341.0</v>
      </c>
      <c r="BS2" s="30">
        <v>63.0</v>
      </c>
      <c r="BT2" s="31">
        <v>832.0</v>
      </c>
      <c r="BU2" s="24">
        <f t="shared" ref="BU2:BU13" si="14">SUM(BR2:BT2)</f>
        <v>1236</v>
      </c>
    </row>
    <row r="3" ht="21.0" customHeight="1">
      <c r="A3" s="24" t="s">
        <v>70</v>
      </c>
      <c r="B3" s="117">
        <v>914.0</v>
      </c>
      <c r="C3" s="32">
        <v>218.0</v>
      </c>
      <c r="D3" s="118">
        <v>52.0</v>
      </c>
      <c r="E3" s="28">
        <f t="shared" si="1"/>
        <v>1184</v>
      </c>
      <c r="F3" s="26">
        <v>152.0</v>
      </c>
      <c r="G3" s="26">
        <v>146.0</v>
      </c>
      <c r="H3" s="26">
        <v>161.0</v>
      </c>
      <c r="I3" s="26">
        <v>168.0</v>
      </c>
      <c r="J3" s="26">
        <v>182.0</v>
      </c>
      <c r="K3" s="26">
        <v>187.0</v>
      </c>
      <c r="L3" s="27">
        <v>188.0</v>
      </c>
      <c r="M3" s="24">
        <f t="shared" si="2"/>
        <v>1184</v>
      </c>
      <c r="N3" s="30">
        <v>507.0</v>
      </c>
      <c r="O3" s="31">
        <v>677.0</v>
      </c>
      <c r="P3" s="24">
        <f t="shared" si="3"/>
        <v>1184</v>
      </c>
      <c r="Q3" s="30">
        <v>684.0</v>
      </c>
      <c r="R3" s="31">
        <v>500.0</v>
      </c>
      <c r="S3" s="24">
        <f t="shared" si="4"/>
        <v>1184</v>
      </c>
      <c r="T3" s="30">
        <v>1527.0</v>
      </c>
      <c r="U3" s="30">
        <v>126.0</v>
      </c>
      <c r="V3" s="30">
        <v>77.0</v>
      </c>
      <c r="W3" s="30">
        <v>476.0</v>
      </c>
      <c r="X3" s="30">
        <v>29.0</v>
      </c>
      <c r="Y3" s="30">
        <v>475.0</v>
      </c>
      <c r="Z3" s="31">
        <v>629.0</v>
      </c>
      <c r="AA3" s="24">
        <f t="shared" si="5"/>
        <v>3339</v>
      </c>
      <c r="AB3" s="30">
        <v>207.0</v>
      </c>
      <c r="AC3" s="30">
        <v>931.0</v>
      </c>
      <c r="AD3" s="30">
        <v>739.0</v>
      </c>
      <c r="AE3" s="30">
        <v>351.0</v>
      </c>
      <c r="AF3" s="30">
        <v>140.0</v>
      </c>
      <c r="AG3" s="24">
        <f t="shared" si="6"/>
        <v>2368</v>
      </c>
      <c r="AH3" s="30">
        <v>857.0</v>
      </c>
      <c r="AI3" s="30">
        <v>1511.0</v>
      </c>
      <c r="AJ3" s="24">
        <f t="shared" si="7"/>
        <v>2368</v>
      </c>
      <c r="AK3" s="30">
        <v>1453.0</v>
      </c>
      <c r="AL3" s="30">
        <v>915.0</v>
      </c>
      <c r="AM3" s="24">
        <f t="shared" si="8"/>
        <v>2368</v>
      </c>
      <c r="AN3" s="30">
        <v>2118.0</v>
      </c>
      <c r="AO3" s="31">
        <v>250.0</v>
      </c>
      <c r="AP3" s="24">
        <f t="shared" si="9"/>
        <v>2368</v>
      </c>
      <c r="AQ3" s="30">
        <v>1495.0</v>
      </c>
      <c r="AR3" s="30">
        <v>471.0</v>
      </c>
      <c r="AS3" s="30">
        <v>132.0</v>
      </c>
      <c r="AT3" s="30">
        <v>147.0</v>
      </c>
      <c r="AU3" s="31">
        <v>123.0</v>
      </c>
      <c r="AV3" s="24">
        <f t="shared" ref="AV3:AV13" si="15">SUM(AQ3:AU3)</f>
        <v>2368</v>
      </c>
      <c r="AW3" s="29">
        <f t="shared" si="10"/>
        <v>123</v>
      </c>
      <c r="AX3" s="30">
        <v>1991.0</v>
      </c>
      <c r="AY3" s="31">
        <v>254.0</v>
      </c>
      <c r="AZ3" s="24">
        <f t="shared" si="11"/>
        <v>2368</v>
      </c>
      <c r="BA3" s="30">
        <v>581.0</v>
      </c>
      <c r="BB3" s="30">
        <v>32.0</v>
      </c>
      <c r="BC3" s="30">
        <v>192.0</v>
      </c>
      <c r="BD3" s="30">
        <v>4.0</v>
      </c>
      <c r="BE3" s="30">
        <v>2.0</v>
      </c>
      <c r="BF3" s="30">
        <v>147.0</v>
      </c>
      <c r="BG3" s="30">
        <v>118.0</v>
      </c>
      <c r="BH3" s="31">
        <v>108.0</v>
      </c>
      <c r="BI3" s="24">
        <f t="shared" si="12"/>
        <v>1184</v>
      </c>
      <c r="BJ3" s="30">
        <v>97.0</v>
      </c>
      <c r="BK3" s="30">
        <v>210.0</v>
      </c>
      <c r="BL3" s="30">
        <v>113.0</v>
      </c>
      <c r="BM3" s="30">
        <v>302.0</v>
      </c>
      <c r="BN3" s="30">
        <v>391.0</v>
      </c>
      <c r="BO3" s="30">
        <v>0.0</v>
      </c>
      <c r="BP3" s="31">
        <v>71.0</v>
      </c>
      <c r="BQ3" s="24">
        <f t="shared" si="13"/>
        <v>1184</v>
      </c>
      <c r="BR3" s="32">
        <v>378.0</v>
      </c>
      <c r="BS3" s="30">
        <v>62.0</v>
      </c>
      <c r="BT3" s="31">
        <v>858.0</v>
      </c>
      <c r="BU3" s="24">
        <f t="shared" si="14"/>
        <v>1298</v>
      </c>
    </row>
    <row r="4" ht="21.0" customHeight="1">
      <c r="A4" s="24" t="s">
        <v>71</v>
      </c>
      <c r="B4" s="117">
        <v>873.0</v>
      </c>
      <c r="C4" s="32">
        <v>196.0</v>
      </c>
      <c r="D4" s="118">
        <v>50.0</v>
      </c>
      <c r="E4" s="28">
        <f t="shared" si="1"/>
        <v>1119</v>
      </c>
      <c r="F4" s="26">
        <v>138.0</v>
      </c>
      <c r="G4" s="26">
        <v>209.0</v>
      </c>
      <c r="H4" s="26">
        <v>154.0</v>
      </c>
      <c r="I4" s="26">
        <v>176.0</v>
      </c>
      <c r="J4" s="26">
        <v>151.0</v>
      </c>
      <c r="K4" s="26">
        <v>162.0</v>
      </c>
      <c r="L4" s="27">
        <v>129.0</v>
      </c>
      <c r="M4" s="24">
        <f t="shared" si="2"/>
        <v>1119</v>
      </c>
      <c r="N4" s="30">
        <v>550.0</v>
      </c>
      <c r="O4" s="31">
        <v>569.0</v>
      </c>
      <c r="P4" s="24">
        <f t="shared" si="3"/>
        <v>1119</v>
      </c>
      <c r="Q4" s="30">
        <v>632.0</v>
      </c>
      <c r="R4" s="31">
        <v>487.0</v>
      </c>
      <c r="S4" s="24">
        <f t="shared" si="4"/>
        <v>1119</v>
      </c>
      <c r="T4" s="30">
        <v>915.0</v>
      </c>
      <c r="U4" s="30">
        <v>405.0</v>
      </c>
      <c r="V4" s="30">
        <v>19.0</v>
      </c>
      <c r="W4" s="30">
        <v>684.0</v>
      </c>
      <c r="X4" s="30">
        <v>7.0</v>
      </c>
      <c r="Y4" s="30">
        <v>208.0</v>
      </c>
      <c r="Z4" s="31">
        <v>0.0</v>
      </c>
      <c r="AA4" s="24">
        <f t="shared" si="5"/>
        <v>2238</v>
      </c>
      <c r="AB4" s="30">
        <v>307.0</v>
      </c>
      <c r="AC4" s="30">
        <v>300.0</v>
      </c>
      <c r="AD4" s="30">
        <v>621.0</v>
      </c>
      <c r="AE4" s="30">
        <v>418.0</v>
      </c>
      <c r="AF4" s="30">
        <v>592.0</v>
      </c>
      <c r="AG4" s="24">
        <f t="shared" si="6"/>
        <v>2238</v>
      </c>
      <c r="AH4" s="30">
        <v>837.0</v>
      </c>
      <c r="AI4" s="30">
        <v>1401.0</v>
      </c>
      <c r="AJ4" s="24">
        <f t="shared" si="7"/>
        <v>2238</v>
      </c>
      <c r="AK4" s="30">
        <v>1926.0</v>
      </c>
      <c r="AL4" s="30">
        <v>312.0</v>
      </c>
      <c r="AM4" s="24">
        <f t="shared" si="8"/>
        <v>2238</v>
      </c>
      <c r="AN4" s="30">
        <v>2185.0</v>
      </c>
      <c r="AO4" s="31">
        <v>53.0</v>
      </c>
      <c r="AP4" s="24">
        <f t="shared" si="9"/>
        <v>2238</v>
      </c>
      <c r="AQ4" s="30">
        <v>1613.0</v>
      </c>
      <c r="AR4" s="30">
        <v>427.0</v>
      </c>
      <c r="AS4" s="30">
        <v>28.0</v>
      </c>
      <c r="AT4" s="30">
        <v>70.0</v>
      </c>
      <c r="AU4" s="31">
        <v>100.0</v>
      </c>
      <c r="AV4" s="24">
        <f t="shared" si="15"/>
        <v>2238</v>
      </c>
      <c r="AW4" s="29">
        <f t="shared" si="10"/>
        <v>100</v>
      </c>
      <c r="AX4" s="30">
        <v>1973.0</v>
      </c>
      <c r="AY4" s="31">
        <v>165.0</v>
      </c>
      <c r="AZ4" s="24">
        <f t="shared" si="11"/>
        <v>2238</v>
      </c>
      <c r="BA4" s="30">
        <v>105.0</v>
      </c>
      <c r="BB4" s="30">
        <v>17.0</v>
      </c>
      <c r="BC4" s="30">
        <v>49.0</v>
      </c>
      <c r="BD4" s="30">
        <v>7.0</v>
      </c>
      <c r="BE4" s="30">
        <v>0.0</v>
      </c>
      <c r="BF4" s="30">
        <v>32.0</v>
      </c>
      <c r="BG4" s="30">
        <v>33.0</v>
      </c>
      <c r="BH4" s="31">
        <v>876.0</v>
      </c>
      <c r="BI4" s="24">
        <f t="shared" si="12"/>
        <v>1119</v>
      </c>
      <c r="BJ4" s="30">
        <v>201.0</v>
      </c>
      <c r="BK4" s="30">
        <v>127.0</v>
      </c>
      <c r="BL4" s="30">
        <v>213.0</v>
      </c>
      <c r="BM4" s="30">
        <v>313.0</v>
      </c>
      <c r="BN4" s="30">
        <v>191.0</v>
      </c>
      <c r="BO4" s="30">
        <v>0.0</v>
      </c>
      <c r="BP4" s="31">
        <v>74.0</v>
      </c>
      <c r="BQ4" s="24">
        <f t="shared" si="13"/>
        <v>1119</v>
      </c>
      <c r="BR4" s="32">
        <v>357.0</v>
      </c>
      <c r="BS4" s="30">
        <v>61.0</v>
      </c>
      <c r="BT4" s="31">
        <v>818.0</v>
      </c>
      <c r="BU4" s="24">
        <f t="shared" si="14"/>
        <v>1236</v>
      </c>
    </row>
    <row r="5" ht="21.0" customHeight="1">
      <c r="A5" s="24" t="s">
        <v>72</v>
      </c>
      <c r="B5" s="117">
        <v>1008.0</v>
      </c>
      <c r="C5" s="32">
        <v>184.0</v>
      </c>
      <c r="D5" s="118">
        <v>43.0</v>
      </c>
      <c r="E5" s="28">
        <f t="shared" si="1"/>
        <v>1235</v>
      </c>
      <c r="F5" s="26">
        <v>142.0</v>
      </c>
      <c r="G5" s="26">
        <v>197.0</v>
      </c>
      <c r="H5" s="26">
        <v>185.0</v>
      </c>
      <c r="I5" s="26">
        <v>205.0</v>
      </c>
      <c r="J5" s="26">
        <v>184.0</v>
      </c>
      <c r="K5" s="26">
        <v>160.0</v>
      </c>
      <c r="L5" s="27">
        <v>162.0</v>
      </c>
      <c r="M5" s="24">
        <f t="shared" si="2"/>
        <v>1235</v>
      </c>
      <c r="N5" s="30">
        <v>508.0</v>
      </c>
      <c r="O5" s="31">
        <v>727.0</v>
      </c>
      <c r="P5" s="24">
        <f t="shared" si="3"/>
        <v>1235</v>
      </c>
      <c r="Q5" s="30">
        <v>594.0</v>
      </c>
      <c r="R5" s="31">
        <v>641.0</v>
      </c>
      <c r="S5" s="24">
        <f t="shared" si="4"/>
        <v>1235</v>
      </c>
      <c r="T5" s="30">
        <v>919.0</v>
      </c>
      <c r="U5" s="30">
        <v>112.0</v>
      </c>
      <c r="V5" s="30">
        <v>21.0</v>
      </c>
      <c r="W5" s="30">
        <v>979.0</v>
      </c>
      <c r="X5" s="30">
        <v>113.0</v>
      </c>
      <c r="Y5" s="30">
        <v>42.0</v>
      </c>
      <c r="Z5" s="31">
        <v>284.0</v>
      </c>
      <c r="AA5" s="24">
        <f t="shared" si="5"/>
        <v>2470</v>
      </c>
      <c r="AB5" s="30">
        <v>412.0</v>
      </c>
      <c r="AC5" s="30">
        <v>831.0</v>
      </c>
      <c r="AD5" s="30">
        <v>753.0</v>
      </c>
      <c r="AE5" s="30">
        <v>298.0</v>
      </c>
      <c r="AF5" s="30">
        <v>176.0</v>
      </c>
      <c r="AG5" s="24">
        <f t="shared" si="6"/>
        <v>2470</v>
      </c>
      <c r="AH5" s="30">
        <v>1262.0</v>
      </c>
      <c r="AI5" s="30">
        <v>1208.0</v>
      </c>
      <c r="AJ5" s="24">
        <f t="shared" si="7"/>
        <v>2470</v>
      </c>
      <c r="AK5" s="30">
        <v>1731.0</v>
      </c>
      <c r="AL5" s="30">
        <v>739.0</v>
      </c>
      <c r="AM5" s="24">
        <f t="shared" si="8"/>
        <v>2470</v>
      </c>
      <c r="AN5" s="30">
        <v>2181.0</v>
      </c>
      <c r="AO5" s="31">
        <v>289.0</v>
      </c>
      <c r="AP5" s="24">
        <f t="shared" si="9"/>
        <v>2470</v>
      </c>
      <c r="AQ5" s="30">
        <v>2016.0</v>
      </c>
      <c r="AR5" s="30">
        <v>158.0</v>
      </c>
      <c r="AS5" s="30">
        <v>27.0</v>
      </c>
      <c r="AT5" s="30">
        <v>41.0</v>
      </c>
      <c r="AU5" s="31">
        <v>228.0</v>
      </c>
      <c r="AV5" s="24">
        <f t="shared" si="15"/>
        <v>2470</v>
      </c>
      <c r="AW5" s="29">
        <f t="shared" si="10"/>
        <v>228</v>
      </c>
      <c r="AX5" s="30">
        <v>2062.0</v>
      </c>
      <c r="AY5" s="31">
        <v>180.0</v>
      </c>
      <c r="AZ5" s="24">
        <f t="shared" si="11"/>
        <v>2470</v>
      </c>
      <c r="BA5" s="30">
        <v>109.0</v>
      </c>
      <c r="BB5" s="30">
        <v>7.0</v>
      </c>
      <c r="BC5" s="30">
        <v>47.0</v>
      </c>
      <c r="BD5" s="30">
        <v>1.0</v>
      </c>
      <c r="BE5" s="30">
        <v>0.0</v>
      </c>
      <c r="BF5" s="30">
        <v>32.0</v>
      </c>
      <c r="BG5" s="30">
        <v>31.0</v>
      </c>
      <c r="BH5" s="31">
        <v>1008.0</v>
      </c>
      <c r="BI5" s="24">
        <f t="shared" si="12"/>
        <v>1235</v>
      </c>
      <c r="BJ5" s="30">
        <v>216.0</v>
      </c>
      <c r="BK5" s="30">
        <v>246.0</v>
      </c>
      <c r="BL5" s="30">
        <v>227.0</v>
      </c>
      <c r="BM5" s="30">
        <v>292.0</v>
      </c>
      <c r="BN5" s="30">
        <v>166.0</v>
      </c>
      <c r="BO5" s="30">
        <v>0.0</v>
      </c>
      <c r="BP5" s="31">
        <v>88.0</v>
      </c>
      <c r="BQ5" s="24">
        <f t="shared" si="13"/>
        <v>1235</v>
      </c>
      <c r="BR5" s="32">
        <v>334.0</v>
      </c>
      <c r="BS5" s="30">
        <v>67.0</v>
      </c>
      <c r="BT5" s="31">
        <v>784.0</v>
      </c>
      <c r="BU5" s="24">
        <f t="shared" si="14"/>
        <v>1185</v>
      </c>
    </row>
    <row r="6" ht="21.0" customHeight="1">
      <c r="A6" s="24" t="s">
        <v>73</v>
      </c>
      <c r="B6" s="117">
        <v>998.0</v>
      </c>
      <c r="C6" s="32">
        <v>184.0</v>
      </c>
      <c r="D6" s="118">
        <v>43.0</v>
      </c>
      <c r="E6" s="28">
        <f t="shared" si="1"/>
        <v>1225</v>
      </c>
      <c r="F6" s="26">
        <v>165.0</v>
      </c>
      <c r="G6" s="26">
        <v>173.0</v>
      </c>
      <c r="H6" s="26">
        <v>163.0</v>
      </c>
      <c r="I6" s="26">
        <v>213.0</v>
      </c>
      <c r="J6" s="26">
        <v>178.0</v>
      </c>
      <c r="K6" s="26">
        <v>167.0</v>
      </c>
      <c r="L6" s="27">
        <v>166.0</v>
      </c>
      <c r="M6" s="24">
        <f t="shared" si="2"/>
        <v>1225</v>
      </c>
      <c r="N6" s="30">
        <v>503.0</v>
      </c>
      <c r="O6" s="31">
        <v>722.0</v>
      </c>
      <c r="P6" s="24">
        <f t="shared" si="3"/>
        <v>1225</v>
      </c>
      <c r="Q6" s="30">
        <v>589.0</v>
      </c>
      <c r="R6" s="31">
        <v>636.0</v>
      </c>
      <c r="S6" s="24">
        <f t="shared" si="4"/>
        <v>1225</v>
      </c>
      <c r="T6" s="30">
        <v>916.0</v>
      </c>
      <c r="U6" s="30">
        <v>109.0</v>
      </c>
      <c r="V6" s="30">
        <v>18.0</v>
      </c>
      <c r="W6" s="30">
        <v>976.0</v>
      </c>
      <c r="X6" s="30">
        <v>111.0</v>
      </c>
      <c r="Y6" s="30">
        <v>39.0</v>
      </c>
      <c r="Z6" s="31">
        <v>281.0</v>
      </c>
      <c r="AA6" s="24">
        <f t="shared" si="5"/>
        <v>2450</v>
      </c>
      <c r="AB6" s="30">
        <v>409.0</v>
      </c>
      <c r="AC6" s="30">
        <v>827.0</v>
      </c>
      <c r="AD6" s="30">
        <v>748.0</v>
      </c>
      <c r="AE6" s="30">
        <v>294.0</v>
      </c>
      <c r="AF6" s="30">
        <v>172.0</v>
      </c>
      <c r="AG6" s="24">
        <f t="shared" si="6"/>
        <v>2450</v>
      </c>
      <c r="AH6" s="30">
        <v>1252.0</v>
      </c>
      <c r="AI6" s="30">
        <v>1198.0</v>
      </c>
      <c r="AJ6" s="24">
        <f t="shared" si="7"/>
        <v>2450</v>
      </c>
      <c r="AK6" s="30">
        <v>1724.0</v>
      </c>
      <c r="AL6" s="30">
        <v>726.0</v>
      </c>
      <c r="AM6" s="24">
        <f t="shared" si="8"/>
        <v>2450</v>
      </c>
      <c r="AN6" s="30">
        <v>2171.0</v>
      </c>
      <c r="AO6" s="31">
        <v>279.0</v>
      </c>
      <c r="AP6" s="24">
        <f t="shared" si="9"/>
        <v>2450</v>
      </c>
      <c r="AQ6" s="30">
        <v>1897.0</v>
      </c>
      <c r="AR6" s="30">
        <v>155.0</v>
      </c>
      <c r="AS6" s="30">
        <v>25.0</v>
      </c>
      <c r="AT6" s="30">
        <v>38.0</v>
      </c>
      <c r="AU6" s="31">
        <v>335.0</v>
      </c>
      <c r="AV6" s="24">
        <f t="shared" si="15"/>
        <v>2450</v>
      </c>
      <c r="AW6" s="29">
        <f t="shared" si="10"/>
        <v>335</v>
      </c>
      <c r="AX6" s="30">
        <v>1938.0</v>
      </c>
      <c r="AY6" s="31">
        <v>177.0</v>
      </c>
      <c r="AZ6" s="24">
        <f t="shared" si="11"/>
        <v>2450</v>
      </c>
      <c r="BA6" s="30">
        <v>91.0</v>
      </c>
      <c r="BB6" s="30">
        <v>2.0</v>
      </c>
      <c r="BC6" s="30">
        <v>60.0</v>
      </c>
      <c r="BD6" s="30">
        <v>4.0</v>
      </c>
      <c r="BE6" s="30">
        <v>0.0</v>
      </c>
      <c r="BF6" s="30">
        <v>41.0</v>
      </c>
      <c r="BG6" s="30">
        <v>29.0</v>
      </c>
      <c r="BH6" s="31">
        <v>998.0</v>
      </c>
      <c r="BI6" s="24">
        <f t="shared" si="12"/>
        <v>1225</v>
      </c>
      <c r="BJ6" s="30">
        <v>212.0</v>
      </c>
      <c r="BK6" s="30">
        <v>128.0</v>
      </c>
      <c r="BL6" s="30">
        <v>224.0</v>
      </c>
      <c r="BM6" s="30">
        <v>199.0</v>
      </c>
      <c r="BN6" s="30">
        <v>372.0</v>
      </c>
      <c r="BO6" s="30">
        <v>0.0</v>
      </c>
      <c r="BP6" s="31">
        <v>90.0</v>
      </c>
      <c r="BQ6" s="24">
        <f t="shared" si="13"/>
        <v>1225</v>
      </c>
      <c r="BR6" s="32">
        <v>337.0</v>
      </c>
      <c r="BS6" s="30">
        <v>60.0</v>
      </c>
      <c r="BT6" s="31">
        <v>807.0</v>
      </c>
      <c r="BU6" s="24">
        <f t="shared" si="14"/>
        <v>1204</v>
      </c>
    </row>
    <row r="7" ht="21.0" customHeight="1">
      <c r="A7" s="24" t="s">
        <v>74</v>
      </c>
      <c r="B7" s="117">
        <v>956.0</v>
      </c>
      <c r="C7" s="32">
        <v>187.0</v>
      </c>
      <c r="D7" s="118">
        <v>52.0</v>
      </c>
      <c r="E7" s="28">
        <f t="shared" si="1"/>
        <v>1195</v>
      </c>
      <c r="F7" s="26">
        <v>153.0</v>
      </c>
      <c r="G7" s="26">
        <v>155.0</v>
      </c>
      <c r="H7" s="26">
        <v>175.0</v>
      </c>
      <c r="I7" s="26">
        <v>173.0</v>
      </c>
      <c r="J7" s="26">
        <v>200.0</v>
      </c>
      <c r="K7" s="26">
        <v>150.0</v>
      </c>
      <c r="L7" s="27">
        <v>189.0</v>
      </c>
      <c r="M7" s="24">
        <f t="shared" si="2"/>
        <v>1195</v>
      </c>
      <c r="N7" s="30">
        <v>422.0</v>
      </c>
      <c r="O7" s="31">
        <v>773.0</v>
      </c>
      <c r="P7" s="24">
        <f t="shared" si="3"/>
        <v>1195</v>
      </c>
      <c r="Q7" s="30">
        <v>548.0</v>
      </c>
      <c r="R7" s="31">
        <v>647.0</v>
      </c>
      <c r="S7" s="24">
        <f t="shared" si="4"/>
        <v>1195</v>
      </c>
      <c r="T7" s="30">
        <v>908.0</v>
      </c>
      <c r="U7" s="30">
        <v>101.0</v>
      </c>
      <c r="V7" s="30">
        <v>10.0</v>
      </c>
      <c r="W7" s="30">
        <v>968.0</v>
      </c>
      <c r="X7" s="30">
        <v>103.0</v>
      </c>
      <c r="Y7" s="30">
        <v>31.0</v>
      </c>
      <c r="Z7" s="31">
        <v>269.0</v>
      </c>
      <c r="AA7" s="24">
        <f t="shared" si="5"/>
        <v>2390</v>
      </c>
      <c r="AB7" s="30">
        <v>397.0</v>
      </c>
      <c r="AC7" s="30">
        <v>815.0</v>
      </c>
      <c r="AD7" s="30">
        <v>736.0</v>
      </c>
      <c r="AE7" s="30">
        <v>282.0</v>
      </c>
      <c r="AF7" s="30">
        <v>160.0</v>
      </c>
      <c r="AG7" s="24">
        <f t="shared" si="6"/>
        <v>2390</v>
      </c>
      <c r="AH7" s="30">
        <v>1222.0</v>
      </c>
      <c r="AI7" s="30">
        <v>1168.0</v>
      </c>
      <c r="AJ7" s="24">
        <f t="shared" si="7"/>
        <v>2390</v>
      </c>
      <c r="AK7" s="30">
        <v>1691.0</v>
      </c>
      <c r="AL7" s="30">
        <v>699.0</v>
      </c>
      <c r="AM7" s="24">
        <f t="shared" si="8"/>
        <v>2390</v>
      </c>
      <c r="AN7" s="30">
        <v>2141.0</v>
      </c>
      <c r="AO7" s="31">
        <v>249.0</v>
      </c>
      <c r="AP7" s="24">
        <f t="shared" si="9"/>
        <v>2390</v>
      </c>
      <c r="AQ7" s="30">
        <v>1870.0</v>
      </c>
      <c r="AR7" s="30">
        <v>147.0</v>
      </c>
      <c r="AS7" s="30">
        <v>17.0</v>
      </c>
      <c r="AT7" s="30">
        <v>30.0</v>
      </c>
      <c r="AU7" s="31">
        <v>326.0</v>
      </c>
      <c r="AV7" s="24">
        <f t="shared" si="15"/>
        <v>2390</v>
      </c>
      <c r="AW7" s="29">
        <f t="shared" si="10"/>
        <v>326</v>
      </c>
      <c r="AX7" s="30">
        <v>1895.0</v>
      </c>
      <c r="AY7" s="31">
        <v>169.0</v>
      </c>
      <c r="AZ7" s="24">
        <f t="shared" si="11"/>
        <v>2390</v>
      </c>
      <c r="BA7" s="30">
        <v>87.0</v>
      </c>
      <c r="BB7" s="30">
        <v>5.0</v>
      </c>
      <c r="BC7" s="30">
        <v>57.0</v>
      </c>
      <c r="BD7" s="30">
        <v>5.0</v>
      </c>
      <c r="BE7" s="30">
        <v>0.0</v>
      </c>
      <c r="BF7" s="30">
        <v>50.0</v>
      </c>
      <c r="BG7" s="30">
        <v>32.0</v>
      </c>
      <c r="BH7" s="31">
        <v>959.0</v>
      </c>
      <c r="BI7" s="24">
        <f t="shared" si="12"/>
        <v>1195</v>
      </c>
      <c r="BJ7" s="30">
        <v>204.0</v>
      </c>
      <c r="BK7" s="30">
        <v>224.0</v>
      </c>
      <c r="BL7" s="30">
        <v>215.0</v>
      </c>
      <c r="BM7" s="30">
        <v>185.0</v>
      </c>
      <c r="BN7" s="30">
        <v>290.0</v>
      </c>
      <c r="BO7" s="30">
        <v>0.0</v>
      </c>
      <c r="BP7" s="31">
        <v>77.0</v>
      </c>
      <c r="BQ7" s="24">
        <f t="shared" si="13"/>
        <v>1195</v>
      </c>
      <c r="BR7" s="32">
        <v>403.0</v>
      </c>
      <c r="BS7" s="30">
        <v>92.0</v>
      </c>
      <c r="BT7" s="31">
        <v>895.0</v>
      </c>
      <c r="BU7" s="24">
        <f t="shared" si="14"/>
        <v>1390</v>
      </c>
    </row>
    <row r="8" ht="21.0" customHeight="1">
      <c r="A8" s="24" t="s">
        <v>75</v>
      </c>
      <c r="B8" s="117">
        <v>1135.0</v>
      </c>
      <c r="C8" s="32">
        <v>176.0</v>
      </c>
      <c r="D8" s="118">
        <v>41.0</v>
      </c>
      <c r="E8" s="28">
        <f t="shared" si="1"/>
        <v>1352</v>
      </c>
      <c r="F8" s="105">
        <v>183.0</v>
      </c>
      <c r="G8" s="105">
        <v>190.0</v>
      </c>
      <c r="H8" s="119">
        <v>182.0</v>
      </c>
      <c r="I8" s="119">
        <v>231.0</v>
      </c>
      <c r="J8" s="119">
        <v>191.0</v>
      </c>
      <c r="K8" s="119">
        <v>186.0</v>
      </c>
      <c r="L8" s="120">
        <v>189.0</v>
      </c>
      <c r="M8" s="101">
        <f t="shared" si="2"/>
        <v>1352</v>
      </c>
      <c r="N8" s="105">
        <v>567.0</v>
      </c>
      <c r="O8" s="106">
        <v>785.0</v>
      </c>
      <c r="P8" s="101">
        <f t="shared" si="3"/>
        <v>1352</v>
      </c>
      <c r="Q8" s="105">
        <v>653.0</v>
      </c>
      <c r="R8" s="106">
        <v>699.0</v>
      </c>
      <c r="S8" s="101">
        <f t="shared" si="4"/>
        <v>1352</v>
      </c>
      <c r="T8" s="105">
        <v>953.0</v>
      </c>
      <c r="U8" s="105">
        <v>146.0</v>
      </c>
      <c r="V8" s="105">
        <v>57.0</v>
      </c>
      <c r="W8" s="105">
        <v>978.0</v>
      </c>
      <c r="X8" s="105">
        <v>175.0</v>
      </c>
      <c r="Y8" s="105">
        <v>76.0</v>
      </c>
      <c r="Z8" s="106">
        <v>259.0</v>
      </c>
      <c r="AA8" s="101">
        <f t="shared" si="5"/>
        <v>2644</v>
      </c>
      <c r="AB8" s="105">
        <v>459.0</v>
      </c>
      <c r="AC8" s="105">
        <v>878.0</v>
      </c>
      <c r="AD8" s="105">
        <v>797.0</v>
      </c>
      <c r="AE8" s="105">
        <v>246.0</v>
      </c>
      <c r="AF8" s="105">
        <v>324.0</v>
      </c>
      <c r="AG8" s="101">
        <f t="shared" si="6"/>
        <v>2704</v>
      </c>
      <c r="AH8" s="105">
        <v>1379.0</v>
      </c>
      <c r="AI8" s="105">
        <v>1325.0</v>
      </c>
      <c r="AJ8" s="101">
        <f t="shared" si="7"/>
        <v>2704</v>
      </c>
      <c r="AK8" s="105">
        <v>1848.0</v>
      </c>
      <c r="AL8" s="105">
        <v>856.0</v>
      </c>
      <c r="AM8" s="101">
        <f t="shared" si="8"/>
        <v>2704</v>
      </c>
      <c r="AN8" s="105">
        <v>2298.0</v>
      </c>
      <c r="AO8" s="105">
        <v>406.0</v>
      </c>
      <c r="AP8" s="101">
        <f t="shared" si="9"/>
        <v>2704</v>
      </c>
      <c r="AQ8" s="105">
        <v>1530.0</v>
      </c>
      <c r="AR8" s="105">
        <v>502.0</v>
      </c>
      <c r="AS8" s="105">
        <v>108.0</v>
      </c>
      <c r="AT8" s="105">
        <v>149.0</v>
      </c>
      <c r="AU8" s="106">
        <v>415.0</v>
      </c>
      <c r="AV8" s="101">
        <f t="shared" si="15"/>
        <v>2704</v>
      </c>
      <c r="AW8" s="121">
        <f t="shared" si="10"/>
        <v>415</v>
      </c>
      <c r="AX8" s="105">
        <v>1901.0</v>
      </c>
      <c r="AY8" s="105">
        <v>388.0</v>
      </c>
      <c r="AZ8" s="101">
        <f t="shared" si="11"/>
        <v>2704</v>
      </c>
      <c r="BA8" s="105">
        <v>93.0</v>
      </c>
      <c r="BB8" s="105">
        <v>9.0</v>
      </c>
      <c r="BC8" s="105">
        <v>45.0</v>
      </c>
      <c r="BD8" s="105">
        <v>3.0</v>
      </c>
      <c r="BE8" s="105">
        <v>0.0</v>
      </c>
      <c r="BF8" s="105">
        <v>387.0</v>
      </c>
      <c r="BG8" s="105">
        <v>30.0</v>
      </c>
      <c r="BH8" s="106">
        <v>785.0</v>
      </c>
      <c r="BI8" s="101">
        <f t="shared" si="12"/>
        <v>1352</v>
      </c>
      <c r="BJ8" s="122">
        <v>386.0</v>
      </c>
      <c r="BK8" s="105">
        <v>180.0</v>
      </c>
      <c r="BL8" s="105">
        <v>168.0</v>
      </c>
      <c r="BM8" s="105">
        <v>279.0</v>
      </c>
      <c r="BN8" s="105">
        <v>316.0</v>
      </c>
      <c r="BO8" s="105">
        <v>0.0</v>
      </c>
      <c r="BP8" s="106">
        <v>23.0</v>
      </c>
      <c r="BQ8" s="101">
        <f t="shared" si="13"/>
        <v>1352</v>
      </c>
      <c r="BR8" s="105">
        <v>369.0</v>
      </c>
      <c r="BS8" s="105">
        <v>61.0</v>
      </c>
      <c r="BT8" s="106">
        <v>911.0</v>
      </c>
      <c r="BU8" s="101">
        <f t="shared" si="14"/>
        <v>1341</v>
      </c>
    </row>
    <row r="9" ht="21.0" customHeight="1">
      <c r="A9" s="24" t="s">
        <v>76</v>
      </c>
      <c r="B9" s="117">
        <v>1150.0</v>
      </c>
      <c r="C9" s="32">
        <v>167.0</v>
      </c>
      <c r="D9" s="118">
        <v>45.0</v>
      </c>
      <c r="E9" s="28">
        <f t="shared" si="1"/>
        <v>1362</v>
      </c>
      <c r="F9" s="30">
        <v>184.0</v>
      </c>
      <c r="G9" s="30">
        <v>192.0</v>
      </c>
      <c r="H9" s="26">
        <v>185.0</v>
      </c>
      <c r="I9" s="26">
        <v>232.0</v>
      </c>
      <c r="J9" s="26">
        <v>198.0</v>
      </c>
      <c r="K9" s="26">
        <v>187.0</v>
      </c>
      <c r="L9" s="27">
        <v>184.0</v>
      </c>
      <c r="M9" s="24">
        <f t="shared" si="2"/>
        <v>1362</v>
      </c>
      <c r="N9" s="30">
        <v>572.0</v>
      </c>
      <c r="O9" s="31">
        <v>790.0</v>
      </c>
      <c r="P9" s="24">
        <f t="shared" si="3"/>
        <v>1362</v>
      </c>
      <c r="Q9" s="30">
        <v>658.0</v>
      </c>
      <c r="R9" s="31">
        <v>704.0</v>
      </c>
      <c r="S9" s="24">
        <f t="shared" si="4"/>
        <v>1362</v>
      </c>
      <c r="T9" s="30">
        <v>956.0</v>
      </c>
      <c r="U9" s="30">
        <v>149.0</v>
      </c>
      <c r="V9" s="30">
        <v>60.0</v>
      </c>
      <c r="W9" s="30">
        <v>986.0</v>
      </c>
      <c r="X9" s="30">
        <v>138.0</v>
      </c>
      <c r="Y9" s="30">
        <v>79.0</v>
      </c>
      <c r="Z9" s="31">
        <v>361.0</v>
      </c>
      <c r="AA9" s="24">
        <f t="shared" si="5"/>
        <v>2729</v>
      </c>
      <c r="AB9" s="30">
        <v>463.0</v>
      </c>
      <c r="AC9" s="30">
        <v>882.0</v>
      </c>
      <c r="AD9" s="30">
        <v>801.0</v>
      </c>
      <c r="AE9" s="30">
        <v>350.0</v>
      </c>
      <c r="AF9" s="30">
        <v>228.0</v>
      </c>
      <c r="AG9" s="24">
        <f t="shared" si="6"/>
        <v>2724</v>
      </c>
      <c r="AH9" s="30">
        <v>1389.0</v>
      </c>
      <c r="AI9" s="30">
        <v>1335.0</v>
      </c>
      <c r="AJ9" s="24">
        <f t="shared" si="7"/>
        <v>2724</v>
      </c>
      <c r="AK9" s="30">
        <v>1858.0</v>
      </c>
      <c r="AL9" s="30">
        <v>866.0</v>
      </c>
      <c r="AM9" s="24">
        <f t="shared" si="8"/>
        <v>2724</v>
      </c>
      <c r="AN9" s="30">
        <v>2308.0</v>
      </c>
      <c r="AO9" s="30">
        <v>416.0</v>
      </c>
      <c r="AP9" s="24">
        <f t="shared" si="9"/>
        <v>2724</v>
      </c>
      <c r="AQ9" s="30">
        <v>2057.0</v>
      </c>
      <c r="AR9" s="30">
        <v>195.0</v>
      </c>
      <c r="AS9" s="30">
        <v>66.0</v>
      </c>
      <c r="AT9" s="30">
        <v>77.0</v>
      </c>
      <c r="AU9" s="31">
        <v>329.0</v>
      </c>
      <c r="AV9" s="24">
        <f t="shared" si="15"/>
        <v>2724</v>
      </c>
      <c r="AW9" s="29">
        <f t="shared" si="10"/>
        <v>329</v>
      </c>
      <c r="AX9" s="30">
        <v>2109.0</v>
      </c>
      <c r="AY9" s="30">
        <v>286.0</v>
      </c>
      <c r="AZ9" s="24">
        <f t="shared" si="11"/>
        <v>2724</v>
      </c>
      <c r="BA9" s="30">
        <v>100.0</v>
      </c>
      <c r="BB9" s="30">
        <v>5.0</v>
      </c>
      <c r="BC9" s="30">
        <v>26.0</v>
      </c>
      <c r="BD9" s="30">
        <v>2.0</v>
      </c>
      <c r="BE9" s="30">
        <v>0.0</v>
      </c>
      <c r="BF9" s="30">
        <v>38.0</v>
      </c>
      <c r="BG9" s="30">
        <v>30.0</v>
      </c>
      <c r="BH9" s="31">
        <v>1161.0</v>
      </c>
      <c r="BI9" s="24">
        <f t="shared" si="12"/>
        <v>1362</v>
      </c>
      <c r="BJ9" s="30">
        <v>259.0</v>
      </c>
      <c r="BK9" s="30">
        <v>109.0</v>
      </c>
      <c r="BL9" s="30">
        <v>124.0</v>
      </c>
      <c r="BM9" s="30">
        <v>135.0</v>
      </c>
      <c r="BN9" s="30">
        <v>585.0</v>
      </c>
      <c r="BO9" s="30">
        <v>0.0</v>
      </c>
      <c r="BP9" s="31">
        <v>150.0</v>
      </c>
      <c r="BQ9" s="24">
        <f t="shared" si="13"/>
        <v>1362</v>
      </c>
      <c r="BR9" s="32">
        <v>347.0</v>
      </c>
      <c r="BS9" s="30">
        <v>58.0</v>
      </c>
      <c r="BT9" s="31">
        <v>834.0</v>
      </c>
      <c r="BU9" s="24">
        <f t="shared" si="14"/>
        <v>1239</v>
      </c>
    </row>
    <row r="10" ht="21.0" customHeight="1">
      <c r="A10" s="24" t="s">
        <v>77</v>
      </c>
      <c r="B10" s="117">
        <v>1040.0</v>
      </c>
      <c r="C10" s="32">
        <v>176.0</v>
      </c>
      <c r="D10" s="118">
        <v>59.0</v>
      </c>
      <c r="E10" s="28">
        <f t="shared" si="1"/>
        <v>1275</v>
      </c>
      <c r="F10" s="30">
        <v>172.0</v>
      </c>
      <c r="G10" s="30">
        <v>236.0</v>
      </c>
      <c r="H10" s="26">
        <v>213.0</v>
      </c>
      <c r="I10" s="26">
        <v>157.0</v>
      </c>
      <c r="J10" s="26">
        <v>262.0</v>
      </c>
      <c r="K10" s="26">
        <v>122.0</v>
      </c>
      <c r="L10" s="27">
        <v>113.0</v>
      </c>
      <c r="M10" s="24">
        <f t="shared" si="2"/>
        <v>1275</v>
      </c>
      <c r="N10" s="30">
        <v>626.0</v>
      </c>
      <c r="O10" s="31">
        <v>649.0</v>
      </c>
      <c r="P10" s="24">
        <f t="shared" si="3"/>
        <v>1275</v>
      </c>
      <c r="Q10" s="30">
        <v>668.0</v>
      </c>
      <c r="R10" s="31">
        <v>607.0</v>
      </c>
      <c r="S10" s="24">
        <f t="shared" si="4"/>
        <v>1275</v>
      </c>
      <c r="T10" s="30">
        <v>472.0</v>
      </c>
      <c r="U10" s="30">
        <v>317.0</v>
      </c>
      <c r="V10" s="30">
        <v>67.0</v>
      </c>
      <c r="W10" s="30">
        <v>723.0</v>
      </c>
      <c r="X10" s="30">
        <v>417.0</v>
      </c>
      <c r="Y10" s="30">
        <v>27.0</v>
      </c>
      <c r="Z10" s="31">
        <v>452.0</v>
      </c>
      <c r="AA10" s="24">
        <f t="shared" si="5"/>
        <v>2475</v>
      </c>
      <c r="AB10" s="30">
        <v>331.0</v>
      </c>
      <c r="AC10" s="30">
        <v>610.0</v>
      </c>
      <c r="AD10" s="30">
        <v>459.0</v>
      </c>
      <c r="AE10" s="30">
        <v>513.0</v>
      </c>
      <c r="AF10" s="30">
        <v>562.0</v>
      </c>
      <c r="AG10" s="24">
        <f t="shared" si="6"/>
        <v>2475</v>
      </c>
      <c r="AH10" s="30">
        <v>1497.0</v>
      </c>
      <c r="AI10" s="30">
        <v>978.0</v>
      </c>
      <c r="AJ10" s="24">
        <f t="shared" si="7"/>
        <v>2475</v>
      </c>
      <c r="AK10" s="30">
        <v>1677.0</v>
      </c>
      <c r="AL10" s="30">
        <v>798.0</v>
      </c>
      <c r="AM10" s="24">
        <f t="shared" si="8"/>
        <v>2475</v>
      </c>
      <c r="AN10" s="30">
        <v>2402.0</v>
      </c>
      <c r="AO10" s="30">
        <v>73.0</v>
      </c>
      <c r="AP10" s="24">
        <f t="shared" si="9"/>
        <v>2475</v>
      </c>
      <c r="AQ10" s="30">
        <v>1199.0</v>
      </c>
      <c r="AR10" s="30">
        <v>610.0</v>
      </c>
      <c r="AS10" s="30">
        <v>122.0</v>
      </c>
      <c r="AT10" s="30">
        <v>76.0</v>
      </c>
      <c r="AU10" s="31">
        <v>468.0</v>
      </c>
      <c r="AV10" s="24">
        <f t="shared" si="15"/>
        <v>2475</v>
      </c>
      <c r="AW10" s="29">
        <f t="shared" si="10"/>
        <v>468</v>
      </c>
      <c r="AX10" s="30">
        <v>1469.0</v>
      </c>
      <c r="AY10" s="30">
        <v>538.0</v>
      </c>
      <c r="AZ10" s="24">
        <f t="shared" si="11"/>
        <v>2475</v>
      </c>
      <c r="BA10" s="30">
        <v>83.0</v>
      </c>
      <c r="BB10" s="30">
        <v>20.0</v>
      </c>
      <c r="BC10" s="30">
        <v>46.0</v>
      </c>
      <c r="BD10" s="30">
        <v>9.0</v>
      </c>
      <c r="BE10" s="30">
        <v>42.0</v>
      </c>
      <c r="BF10" s="30">
        <v>35.0</v>
      </c>
      <c r="BG10" s="30">
        <v>0.0</v>
      </c>
      <c r="BH10" s="31">
        <v>1040.0</v>
      </c>
      <c r="BI10" s="24">
        <f t="shared" si="12"/>
        <v>1275</v>
      </c>
      <c r="BJ10" s="30">
        <v>100.0</v>
      </c>
      <c r="BK10" s="30">
        <v>98.0</v>
      </c>
      <c r="BL10" s="30">
        <v>202.0</v>
      </c>
      <c r="BM10" s="30">
        <v>107.0</v>
      </c>
      <c r="BN10" s="30">
        <v>730.0</v>
      </c>
      <c r="BO10" s="30">
        <v>0.0</v>
      </c>
      <c r="BP10" s="31">
        <v>38.0</v>
      </c>
      <c r="BQ10" s="24">
        <f t="shared" si="13"/>
        <v>1275</v>
      </c>
      <c r="BR10" s="32">
        <v>355.0</v>
      </c>
      <c r="BS10" s="30">
        <v>99.0</v>
      </c>
      <c r="BT10" s="31">
        <v>875.0</v>
      </c>
      <c r="BU10" s="24">
        <f t="shared" si="14"/>
        <v>1329</v>
      </c>
    </row>
    <row r="11" ht="21.0" customHeight="1">
      <c r="A11" s="24" t="s">
        <v>78</v>
      </c>
      <c r="B11" s="117">
        <v>895.0</v>
      </c>
      <c r="C11" s="32">
        <v>175.0</v>
      </c>
      <c r="D11" s="118">
        <v>47.0</v>
      </c>
      <c r="E11" s="28">
        <f t="shared" si="1"/>
        <v>1117</v>
      </c>
      <c r="F11" s="30">
        <v>152.0</v>
      </c>
      <c r="G11" s="30">
        <v>157.0</v>
      </c>
      <c r="H11" s="30">
        <v>156.0</v>
      </c>
      <c r="I11" s="30">
        <v>212.0</v>
      </c>
      <c r="J11" s="30">
        <v>150.0</v>
      </c>
      <c r="K11" s="30">
        <v>149.0</v>
      </c>
      <c r="L11" s="31">
        <v>141.0</v>
      </c>
      <c r="M11" s="24">
        <f>F11+G11+H11+I11+J11++K11+L11</f>
        <v>1117</v>
      </c>
      <c r="N11" s="30">
        <v>653.0</v>
      </c>
      <c r="O11" s="31">
        <v>464.0</v>
      </c>
      <c r="P11" s="24">
        <f t="shared" si="3"/>
        <v>1117</v>
      </c>
      <c r="Q11" s="30">
        <v>603.0</v>
      </c>
      <c r="R11" s="31">
        <v>514.0</v>
      </c>
      <c r="S11" s="24">
        <f t="shared" si="4"/>
        <v>1117</v>
      </c>
      <c r="T11" s="30">
        <v>614.0</v>
      </c>
      <c r="U11" s="30">
        <v>107.0</v>
      </c>
      <c r="V11" s="30">
        <v>81.0</v>
      </c>
      <c r="W11" s="30">
        <v>521.0</v>
      </c>
      <c r="X11" s="30">
        <v>712.0</v>
      </c>
      <c r="Y11" s="30">
        <v>53.0</v>
      </c>
      <c r="Z11" s="31">
        <v>136.0</v>
      </c>
      <c r="AA11" s="24">
        <f t="shared" si="5"/>
        <v>2224</v>
      </c>
      <c r="AB11" s="30">
        <v>218.0</v>
      </c>
      <c r="AC11" s="30">
        <v>429.0</v>
      </c>
      <c r="AD11" s="30">
        <v>851.0</v>
      </c>
      <c r="AE11" s="30">
        <v>393.0</v>
      </c>
      <c r="AF11" s="30">
        <v>343.0</v>
      </c>
      <c r="AG11" s="24">
        <f t="shared" si="6"/>
        <v>2234</v>
      </c>
      <c r="AH11" s="30">
        <v>951.0</v>
      </c>
      <c r="AI11" s="30">
        <v>1283.0</v>
      </c>
      <c r="AJ11" s="24">
        <f t="shared" si="7"/>
        <v>2234</v>
      </c>
      <c r="AK11" s="30">
        <v>1496.0</v>
      </c>
      <c r="AL11" s="30">
        <v>738.0</v>
      </c>
      <c r="AM11" s="24">
        <f t="shared" si="8"/>
        <v>2234</v>
      </c>
      <c r="AN11" s="30">
        <v>1913.0</v>
      </c>
      <c r="AO11" s="30">
        <v>321.0</v>
      </c>
      <c r="AP11" s="24">
        <f t="shared" si="9"/>
        <v>2234</v>
      </c>
      <c r="AQ11" s="30">
        <v>1213.0</v>
      </c>
      <c r="AR11" s="30">
        <v>800.0</v>
      </c>
      <c r="AS11" s="30">
        <v>21.0</v>
      </c>
      <c r="AT11" s="30">
        <v>13.0</v>
      </c>
      <c r="AU11" s="31">
        <v>187.0</v>
      </c>
      <c r="AV11" s="24">
        <f t="shared" si="15"/>
        <v>2234</v>
      </c>
      <c r="AW11" s="29">
        <f t="shared" si="10"/>
        <v>187</v>
      </c>
      <c r="AX11" s="30">
        <v>1861.0</v>
      </c>
      <c r="AY11" s="30">
        <v>186.0</v>
      </c>
      <c r="AZ11" s="24">
        <f t="shared" si="11"/>
        <v>2234</v>
      </c>
      <c r="BA11" s="30">
        <v>96.0</v>
      </c>
      <c r="BB11" s="30">
        <v>13.0</v>
      </c>
      <c r="BC11" s="30">
        <v>37.0</v>
      </c>
      <c r="BD11" s="30">
        <v>5.0</v>
      </c>
      <c r="BE11" s="30">
        <v>33.0</v>
      </c>
      <c r="BF11" s="30">
        <v>37.0</v>
      </c>
      <c r="BG11" s="30">
        <v>1.0</v>
      </c>
      <c r="BH11" s="31">
        <v>895.0</v>
      </c>
      <c r="BI11" s="24">
        <f t="shared" si="12"/>
        <v>1117</v>
      </c>
      <c r="BJ11" s="30">
        <v>206.0</v>
      </c>
      <c r="BK11" s="30">
        <v>215.0</v>
      </c>
      <c r="BL11" s="30">
        <v>122.0</v>
      </c>
      <c r="BM11" s="30">
        <v>125.0</v>
      </c>
      <c r="BN11" s="30">
        <v>449.0</v>
      </c>
      <c r="BO11" s="30">
        <v>0.0</v>
      </c>
      <c r="BP11" s="31">
        <v>0.0</v>
      </c>
      <c r="BQ11" s="24">
        <f t="shared" si="13"/>
        <v>1117</v>
      </c>
      <c r="BR11" s="32">
        <v>324.0</v>
      </c>
      <c r="BS11" s="30">
        <v>74.0</v>
      </c>
      <c r="BT11" s="31">
        <v>830.0</v>
      </c>
      <c r="BU11" s="24">
        <f t="shared" si="14"/>
        <v>1228</v>
      </c>
    </row>
    <row r="12" ht="21.0" customHeight="1">
      <c r="A12" s="24" t="s">
        <v>79</v>
      </c>
      <c r="B12" s="117">
        <v>872.0</v>
      </c>
      <c r="C12" s="32">
        <v>185.0</v>
      </c>
      <c r="D12" s="118">
        <v>33.0</v>
      </c>
      <c r="E12" s="28">
        <f t="shared" si="1"/>
        <v>1090</v>
      </c>
      <c r="F12" s="26">
        <v>158.0</v>
      </c>
      <c r="G12" s="26">
        <v>150.0</v>
      </c>
      <c r="H12" s="26">
        <v>190.0</v>
      </c>
      <c r="I12" s="26">
        <v>122.0</v>
      </c>
      <c r="J12" s="26">
        <v>162.0</v>
      </c>
      <c r="K12" s="26">
        <v>192.0</v>
      </c>
      <c r="L12" s="27">
        <v>116.0</v>
      </c>
      <c r="M12" s="24">
        <f t="shared" ref="M12:M14" si="16">F12+G12+H12+I12+J12+K12+L12</f>
        <v>1090</v>
      </c>
      <c r="N12" s="30">
        <v>477.0</v>
      </c>
      <c r="O12" s="31">
        <v>613.0</v>
      </c>
      <c r="P12" s="24">
        <f t="shared" si="3"/>
        <v>1090</v>
      </c>
      <c r="Q12" s="30">
        <v>569.0</v>
      </c>
      <c r="R12" s="31">
        <v>521.0</v>
      </c>
      <c r="S12" s="24">
        <f t="shared" si="4"/>
        <v>1090</v>
      </c>
      <c r="T12" s="30">
        <v>927.0</v>
      </c>
      <c r="U12" s="30">
        <v>203.0</v>
      </c>
      <c r="V12" s="30">
        <v>42.0</v>
      </c>
      <c r="W12" s="30">
        <v>588.0</v>
      </c>
      <c r="X12" s="30">
        <v>231.0</v>
      </c>
      <c r="Y12" s="30">
        <v>57.0</v>
      </c>
      <c r="Z12" s="31">
        <v>132.0</v>
      </c>
      <c r="AA12" s="24">
        <f t="shared" si="5"/>
        <v>2180</v>
      </c>
      <c r="AB12" s="30">
        <v>187.0</v>
      </c>
      <c r="AC12" s="30">
        <v>721.0</v>
      </c>
      <c r="AD12" s="30">
        <v>518.0</v>
      </c>
      <c r="AE12" s="30">
        <v>438.0</v>
      </c>
      <c r="AF12" s="30">
        <v>316.0</v>
      </c>
      <c r="AG12" s="24">
        <f t="shared" si="6"/>
        <v>2180</v>
      </c>
      <c r="AH12" s="30">
        <v>714.0</v>
      </c>
      <c r="AI12" s="30">
        <v>1466.0</v>
      </c>
      <c r="AJ12" s="24">
        <f t="shared" si="7"/>
        <v>2180</v>
      </c>
      <c r="AK12" s="30">
        <v>1622.0</v>
      </c>
      <c r="AL12" s="30">
        <v>558.0</v>
      </c>
      <c r="AM12" s="24">
        <f t="shared" si="8"/>
        <v>2180</v>
      </c>
      <c r="AN12" s="30">
        <v>2006.0</v>
      </c>
      <c r="AO12" s="31">
        <v>174.0</v>
      </c>
      <c r="AP12" s="24">
        <f t="shared" si="9"/>
        <v>2180</v>
      </c>
      <c r="AQ12" s="30">
        <v>1681.0</v>
      </c>
      <c r="AR12" s="30">
        <v>205.0</v>
      </c>
      <c r="AS12" s="30">
        <v>13.0</v>
      </c>
      <c r="AT12" s="30">
        <v>11.0</v>
      </c>
      <c r="AU12" s="31">
        <v>270.0</v>
      </c>
      <c r="AV12" s="24">
        <f t="shared" si="15"/>
        <v>2180</v>
      </c>
      <c r="AW12" s="29">
        <f t="shared" si="10"/>
        <v>270</v>
      </c>
      <c r="AX12" s="30">
        <v>1643.0</v>
      </c>
      <c r="AY12" s="31">
        <v>267.0</v>
      </c>
      <c r="AZ12" s="24">
        <f t="shared" si="11"/>
        <v>2180</v>
      </c>
      <c r="BA12" s="30">
        <v>78.0</v>
      </c>
      <c r="BB12" s="30">
        <v>12.0</v>
      </c>
      <c r="BC12" s="30">
        <v>41.0</v>
      </c>
      <c r="BD12" s="30">
        <v>4.0</v>
      </c>
      <c r="BE12" s="30">
        <v>46.0</v>
      </c>
      <c r="BF12" s="30">
        <v>33.0</v>
      </c>
      <c r="BG12" s="30">
        <v>4.0</v>
      </c>
      <c r="BH12" s="31">
        <v>872.0</v>
      </c>
      <c r="BI12" s="24">
        <f t="shared" si="12"/>
        <v>1090</v>
      </c>
      <c r="BJ12" s="30">
        <v>232.0</v>
      </c>
      <c r="BK12" s="30">
        <v>96.0</v>
      </c>
      <c r="BL12" s="30">
        <v>124.0</v>
      </c>
      <c r="BM12" s="30">
        <v>187.0</v>
      </c>
      <c r="BN12" s="30">
        <v>451.0</v>
      </c>
      <c r="BO12" s="30">
        <v>0.0</v>
      </c>
      <c r="BP12" s="31">
        <v>0.0</v>
      </c>
      <c r="BQ12" s="24">
        <f t="shared" si="13"/>
        <v>1090</v>
      </c>
      <c r="BR12" s="32">
        <v>315.0</v>
      </c>
      <c r="BS12" s="30">
        <v>48.0</v>
      </c>
      <c r="BT12" s="31">
        <v>763.0</v>
      </c>
      <c r="BU12" s="24">
        <f t="shared" si="14"/>
        <v>1126</v>
      </c>
    </row>
    <row r="13" ht="21.0" customHeight="1">
      <c r="A13" s="24" t="s">
        <v>80</v>
      </c>
      <c r="B13" s="123">
        <v>829.0</v>
      </c>
      <c r="C13" s="39">
        <v>184.0</v>
      </c>
      <c r="D13" s="124">
        <v>53.0</v>
      </c>
      <c r="E13" s="28">
        <f t="shared" si="1"/>
        <v>1066</v>
      </c>
      <c r="F13" s="26">
        <v>136.0</v>
      </c>
      <c r="G13" s="26">
        <v>140.0</v>
      </c>
      <c r="H13" s="26">
        <v>134.0</v>
      </c>
      <c r="I13" s="26">
        <v>164.0</v>
      </c>
      <c r="J13" s="26">
        <v>150.0</v>
      </c>
      <c r="K13" s="26">
        <v>151.0</v>
      </c>
      <c r="L13" s="27">
        <v>191.0</v>
      </c>
      <c r="M13" s="24">
        <f t="shared" si="16"/>
        <v>1066</v>
      </c>
      <c r="N13" s="36">
        <v>518.0</v>
      </c>
      <c r="O13" s="37">
        <v>548.0</v>
      </c>
      <c r="P13" s="24">
        <f t="shared" si="3"/>
        <v>1066</v>
      </c>
      <c r="Q13" s="30">
        <v>563.0</v>
      </c>
      <c r="R13" s="31">
        <v>503.0</v>
      </c>
      <c r="S13" s="24">
        <f t="shared" si="4"/>
        <v>1066</v>
      </c>
      <c r="T13" s="30">
        <v>857.0</v>
      </c>
      <c r="U13" s="30">
        <v>122.0</v>
      </c>
      <c r="V13" s="30">
        <v>37.0</v>
      </c>
      <c r="W13" s="30">
        <v>711.0</v>
      </c>
      <c r="X13" s="30">
        <v>117.0</v>
      </c>
      <c r="Y13" s="30">
        <v>47.0</v>
      </c>
      <c r="Z13" s="31">
        <v>87.0</v>
      </c>
      <c r="AA13" s="24">
        <f t="shared" si="5"/>
        <v>1978</v>
      </c>
      <c r="AB13" s="30">
        <v>105.0</v>
      </c>
      <c r="AC13" s="30">
        <v>618.0</v>
      </c>
      <c r="AD13" s="30">
        <v>551.0</v>
      </c>
      <c r="AE13" s="30">
        <v>310.0</v>
      </c>
      <c r="AF13" s="30">
        <v>394.0</v>
      </c>
      <c r="AG13" s="24">
        <f t="shared" si="6"/>
        <v>1978</v>
      </c>
      <c r="AH13" s="30">
        <v>881.0</v>
      </c>
      <c r="AI13" s="30">
        <v>1097.0</v>
      </c>
      <c r="AJ13" s="24">
        <f t="shared" si="7"/>
        <v>1978</v>
      </c>
      <c r="AK13" s="30">
        <v>1531.0</v>
      </c>
      <c r="AL13" s="30">
        <v>447.0</v>
      </c>
      <c r="AM13" s="24">
        <f t="shared" si="8"/>
        <v>1978</v>
      </c>
      <c r="AN13" s="30">
        <v>1916.0</v>
      </c>
      <c r="AO13" s="31">
        <v>62.0</v>
      </c>
      <c r="AP13" s="24">
        <f t="shared" si="9"/>
        <v>1978</v>
      </c>
      <c r="AQ13" s="30">
        <v>1112.0</v>
      </c>
      <c r="AR13" s="30">
        <v>591.0</v>
      </c>
      <c r="AS13" s="30">
        <v>102.0</v>
      </c>
      <c r="AT13" s="30">
        <v>37.0</v>
      </c>
      <c r="AU13" s="31">
        <v>136.0</v>
      </c>
      <c r="AV13" s="24">
        <f t="shared" si="15"/>
        <v>1978</v>
      </c>
      <c r="AW13" s="29">
        <f t="shared" si="10"/>
        <v>136</v>
      </c>
      <c r="AX13" s="30">
        <v>1535.0</v>
      </c>
      <c r="AY13" s="31">
        <v>307.0</v>
      </c>
      <c r="AZ13" s="24">
        <f t="shared" si="11"/>
        <v>1978</v>
      </c>
      <c r="BA13" s="30">
        <v>88.0</v>
      </c>
      <c r="BB13" s="30">
        <v>7.0</v>
      </c>
      <c r="BC13" s="30">
        <v>44.0</v>
      </c>
      <c r="BD13" s="30">
        <v>12.0</v>
      </c>
      <c r="BE13" s="30">
        <v>49.0</v>
      </c>
      <c r="BF13" s="30">
        <v>37.0</v>
      </c>
      <c r="BG13" s="30">
        <v>0.0</v>
      </c>
      <c r="BH13" s="31">
        <v>829.0</v>
      </c>
      <c r="BI13" s="24">
        <f t="shared" si="12"/>
        <v>1066</v>
      </c>
      <c r="BJ13" s="36">
        <v>71.0</v>
      </c>
      <c r="BK13" s="36">
        <v>133.0</v>
      </c>
      <c r="BL13" s="36">
        <v>293.0</v>
      </c>
      <c r="BM13" s="36">
        <v>397.0</v>
      </c>
      <c r="BN13" s="36">
        <v>159.0</v>
      </c>
      <c r="BO13" s="36">
        <v>0.0</v>
      </c>
      <c r="BP13" s="37">
        <v>13.0</v>
      </c>
      <c r="BQ13" s="38">
        <f t="shared" si="13"/>
        <v>1066</v>
      </c>
      <c r="BR13" s="39">
        <v>324.0</v>
      </c>
      <c r="BS13" s="36">
        <v>77.0</v>
      </c>
      <c r="BT13" s="37">
        <v>1016.0</v>
      </c>
      <c r="BU13" s="38">
        <f t="shared" si="14"/>
        <v>1417</v>
      </c>
    </row>
    <row r="14" ht="21.0" customHeight="1">
      <c r="A14" s="24" t="s">
        <v>47</v>
      </c>
      <c r="B14" s="125">
        <f t="shared" ref="B14:L14" si="17">SUM(B2:B13)</f>
        <v>11679</v>
      </c>
      <c r="C14" s="126">
        <f t="shared" si="17"/>
        <v>2236</v>
      </c>
      <c r="D14" s="126">
        <f t="shared" si="17"/>
        <v>560</v>
      </c>
      <c r="E14" s="42">
        <f t="shared" si="17"/>
        <v>14475</v>
      </c>
      <c r="F14" s="41">
        <f t="shared" si="17"/>
        <v>1952</v>
      </c>
      <c r="G14" s="41">
        <f t="shared" si="17"/>
        <v>2136</v>
      </c>
      <c r="H14" s="41">
        <f t="shared" si="17"/>
        <v>2099</v>
      </c>
      <c r="I14" s="41">
        <f t="shared" si="17"/>
        <v>2170</v>
      </c>
      <c r="J14" s="41">
        <f t="shared" si="17"/>
        <v>2162</v>
      </c>
      <c r="K14" s="41">
        <f t="shared" si="17"/>
        <v>2005</v>
      </c>
      <c r="L14" s="41">
        <f t="shared" si="17"/>
        <v>1951</v>
      </c>
      <c r="M14" s="24">
        <f t="shared" si="16"/>
        <v>14475</v>
      </c>
      <c r="N14" s="41">
        <f t="shared" ref="N14:BU14" si="18">SUM(N2:N13)</f>
        <v>6553</v>
      </c>
      <c r="O14" s="41">
        <f t="shared" si="18"/>
        <v>7922</v>
      </c>
      <c r="P14" s="24">
        <f t="shared" si="18"/>
        <v>14475</v>
      </c>
      <c r="Q14" s="41">
        <f t="shared" si="18"/>
        <v>7451</v>
      </c>
      <c r="R14" s="43">
        <f t="shared" si="18"/>
        <v>7024</v>
      </c>
      <c r="S14" s="24">
        <f t="shared" si="18"/>
        <v>14475</v>
      </c>
      <c r="T14" s="41">
        <f t="shared" si="18"/>
        <v>10755</v>
      </c>
      <c r="U14" s="41">
        <f t="shared" si="18"/>
        <v>2130</v>
      </c>
      <c r="V14" s="41">
        <f t="shared" si="18"/>
        <v>641</v>
      </c>
      <c r="W14" s="41">
        <f t="shared" si="18"/>
        <v>9100</v>
      </c>
      <c r="X14" s="41">
        <f t="shared" si="18"/>
        <v>2460</v>
      </c>
      <c r="Y14" s="41">
        <f t="shared" si="18"/>
        <v>1192</v>
      </c>
      <c r="Z14" s="41">
        <f t="shared" si="18"/>
        <v>3349</v>
      </c>
      <c r="AA14" s="24">
        <f t="shared" si="18"/>
        <v>29627</v>
      </c>
      <c r="AB14" s="24">
        <f t="shared" si="18"/>
        <v>3726</v>
      </c>
      <c r="AC14" s="41">
        <f t="shared" si="18"/>
        <v>8613</v>
      </c>
      <c r="AD14" s="41">
        <f t="shared" si="18"/>
        <v>8145</v>
      </c>
      <c r="AE14" s="41">
        <f t="shared" si="18"/>
        <v>4550</v>
      </c>
      <c r="AF14" s="41">
        <f t="shared" si="18"/>
        <v>3687</v>
      </c>
      <c r="AG14" s="24">
        <f t="shared" si="18"/>
        <v>28721</v>
      </c>
      <c r="AH14" s="41">
        <f t="shared" si="18"/>
        <v>13361</v>
      </c>
      <c r="AI14" s="41">
        <f t="shared" si="18"/>
        <v>15360</v>
      </c>
      <c r="AJ14" s="24">
        <f t="shared" si="18"/>
        <v>28721</v>
      </c>
      <c r="AK14" s="41">
        <f t="shared" si="18"/>
        <v>20377</v>
      </c>
      <c r="AL14" s="41">
        <f t="shared" si="18"/>
        <v>8344</v>
      </c>
      <c r="AM14" s="24">
        <f t="shared" si="18"/>
        <v>28721</v>
      </c>
      <c r="AN14" s="41">
        <f t="shared" si="18"/>
        <v>25989</v>
      </c>
      <c r="AO14" s="43">
        <f t="shared" si="18"/>
        <v>2732</v>
      </c>
      <c r="AP14" s="24">
        <f t="shared" si="18"/>
        <v>28721</v>
      </c>
      <c r="AQ14" s="41">
        <f t="shared" si="18"/>
        <v>19493</v>
      </c>
      <c r="AR14" s="41">
        <f t="shared" si="18"/>
        <v>4536</v>
      </c>
      <c r="AS14" s="41">
        <f t="shared" si="18"/>
        <v>779</v>
      </c>
      <c r="AT14" s="41">
        <f t="shared" si="18"/>
        <v>786</v>
      </c>
      <c r="AU14" s="43">
        <f t="shared" si="18"/>
        <v>3127</v>
      </c>
      <c r="AV14" s="24">
        <f t="shared" si="18"/>
        <v>28721</v>
      </c>
      <c r="AW14" s="40">
        <f t="shared" si="18"/>
        <v>3127</v>
      </c>
      <c r="AX14" s="41">
        <f t="shared" si="18"/>
        <v>22250</v>
      </c>
      <c r="AY14" s="43">
        <f t="shared" si="18"/>
        <v>3344</v>
      </c>
      <c r="AZ14" s="24">
        <f t="shared" si="18"/>
        <v>28721</v>
      </c>
      <c r="BA14" s="44">
        <f t="shared" si="18"/>
        <v>2228</v>
      </c>
      <c r="BB14" s="44">
        <f t="shared" si="18"/>
        <v>143</v>
      </c>
      <c r="BC14" s="44">
        <f t="shared" si="18"/>
        <v>751</v>
      </c>
      <c r="BD14" s="44">
        <f t="shared" si="18"/>
        <v>67</v>
      </c>
      <c r="BE14" s="44">
        <f t="shared" si="18"/>
        <v>174</v>
      </c>
      <c r="BF14" s="44">
        <f t="shared" si="18"/>
        <v>962</v>
      </c>
      <c r="BG14" s="44">
        <f t="shared" si="18"/>
        <v>394</v>
      </c>
      <c r="BH14" s="44">
        <f t="shared" si="18"/>
        <v>9756</v>
      </c>
      <c r="BI14" s="24">
        <f t="shared" si="18"/>
        <v>14475</v>
      </c>
      <c r="BJ14" s="24">
        <f t="shared" si="18"/>
        <v>2272</v>
      </c>
      <c r="BK14" s="24">
        <f t="shared" si="18"/>
        <v>1878</v>
      </c>
      <c r="BL14" s="24">
        <f t="shared" si="18"/>
        <v>2332</v>
      </c>
      <c r="BM14" s="24">
        <f t="shared" si="18"/>
        <v>2662</v>
      </c>
      <c r="BN14" s="24">
        <f t="shared" si="18"/>
        <v>4577</v>
      </c>
      <c r="BO14" s="24">
        <f t="shared" si="18"/>
        <v>0</v>
      </c>
      <c r="BP14" s="24">
        <f t="shared" si="18"/>
        <v>754</v>
      </c>
      <c r="BQ14" s="24">
        <f t="shared" si="18"/>
        <v>14475</v>
      </c>
      <c r="BR14" s="42">
        <f t="shared" si="18"/>
        <v>4184</v>
      </c>
      <c r="BS14" s="24">
        <f t="shared" si="18"/>
        <v>822</v>
      </c>
      <c r="BT14" s="24">
        <f t="shared" si="18"/>
        <v>10223</v>
      </c>
      <c r="BU14" s="24">
        <f t="shared" si="18"/>
        <v>15229</v>
      </c>
    </row>
    <row r="15" ht="12.75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3" width="8.0"/>
  </cols>
  <sheetData>
    <row r="1" ht="124.5" customHeight="1">
      <c r="A1" s="2" t="s">
        <v>1</v>
      </c>
      <c r="B1" s="3" t="s">
        <v>2</v>
      </c>
      <c r="C1" s="3" t="s">
        <v>3</v>
      </c>
      <c r="D1" s="4" t="s">
        <v>4</v>
      </c>
      <c r="E1" s="5" t="s">
        <v>5</v>
      </c>
      <c r="F1" s="2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6" t="s">
        <v>13</v>
      </c>
      <c r="N1" s="2" t="s">
        <v>14</v>
      </c>
      <c r="O1" s="3" t="s">
        <v>15</v>
      </c>
      <c r="P1" s="6" t="s">
        <v>16</v>
      </c>
      <c r="Q1" s="2" t="s">
        <v>17</v>
      </c>
      <c r="R1" s="3" t="s">
        <v>18</v>
      </c>
      <c r="S1" s="6" t="s">
        <v>19</v>
      </c>
      <c r="T1" s="2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6" t="s">
        <v>27</v>
      </c>
      <c r="AB1" s="2">
        <v>-18.0</v>
      </c>
      <c r="AC1" s="3" t="s">
        <v>28</v>
      </c>
      <c r="AD1" s="3" t="s">
        <v>29</v>
      </c>
      <c r="AE1" s="3" t="s">
        <v>30</v>
      </c>
      <c r="AF1" s="3" t="s">
        <v>31</v>
      </c>
      <c r="AG1" s="6" t="s">
        <v>32</v>
      </c>
      <c r="AH1" s="2" t="s">
        <v>33</v>
      </c>
      <c r="AI1" s="3" t="s">
        <v>34</v>
      </c>
      <c r="AJ1" s="6" t="s">
        <v>35</v>
      </c>
      <c r="AK1" s="2" t="s">
        <v>36</v>
      </c>
      <c r="AL1" s="3" t="s">
        <v>37</v>
      </c>
      <c r="AM1" s="6" t="s">
        <v>38</v>
      </c>
      <c r="AN1" s="2" t="s">
        <v>39</v>
      </c>
      <c r="AO1" s="3" t="s">
        <v>40</v>
      </c>
      <c r="AP1" s="6" t="s">
        <v>41</v>
      </c>
      <c r="AQ1" s="2" t="s">
        <v>42</v>
      </c>
      <c r="AR1" s="3" t="s">
        <v>43</v>
      </c>
      <c r="AS1" s="3" t="s">
        <v>44</v>
      </c>
      <c r="AT1" s="3" t="s">
        <v>45</v>
      </c>
      <c r="AU1" s="7" t="s">
        <v>46</v>
      </c>
      <c r="AV1" s="8" t="s">
        <v>47</v>
      </c>
      <c r="AW1" s="9" t="s">
        <v>46</v>
      </c>
      <c r="AX1" s="3" t="s">
        <v>48</v>
      </c>
      <c r="AY1" s="3" t="s">
        <v>49</v>
      </c>
      <c r="AZ1" s="10" t="s">
        <v>47</v>
      </c>
      <c r="BA1" s="11" t="s">
        <v>50</v>
      </c>
      <c r="BB1" s="12" t="s">
        <v>51</v>
      </c>
      <c r="BC1" s="12" t="s">
        <v>52</v>
      </c>
      <c r="BD1" s="12" t="s">
        <v>53</v>
      </c>
      <c r="BE1" s="13" t="s">
        <v>54</v>
      </c>
      <c r="BF1" s="14" t="s">
        <v>55</v>
      </c>
      <c r="BG1" s="14" t="s">
        <v>56</v>
      </c>
      <c r="BH1" s="15" t="s">
        <v>57</v>
      </c>
      <c r="BI1" s="16" t="s">
        <v>47</v>
      </c>
      <c r="BJ1" s="16" t="s">
        <v>58</v>
      </c>
      <c r="BK1" s="17" t="s">
        <v>59</v>
      </c>
      <c r="BL1" s="18" t="s">
        <v>60</v>
      </c>
      <c r="BM1" s="18" t="s">
        <v>61</v>
      </c>
      <c r="BN1" s="18" t="s">
        <v>62</v>
      </c>
      <c r="BO1" s="18" t="s">
        <v>63</v>
      </c>
      <c r="BP1" s="18" t="s">
        <v>26</v>
      </c>
      <c r="BQ1" s="19" t="s">
        <v>64</v>
      </c>
      <c r="BR1" s="20" t="s">
        <v>65</v>
      </c>
      <c r="BS1" s="21" t="s">
        <v>66</v>
      </c>
      <c r="BT1" s="18" t="s">
        <v>67</v>
      </c>
      <c r="BU1" s="22" t="s">
        <v>68</v>
      </c>
    </row>
    <row r="2" ht="21.0" customHeight="1">
      <c r="A2" s="24" t="s">
        <v>69</v>
      </c>
      <c r="B2" s="25">
        <v>9308.0</v>
      </c>
      <c r="C2" s="26">
        <v>244.0</v>
      </c>
      <c r="D2" s="27">
        <v>85.0</v>
      </c>
      <c r="E2" s="28">
        <f t="shared" ref="E2:E13" si="1">SUM(B2:D2)</f>
        <v>9637</v>
      </c>
      <c r="F2" s="26">
        <v>1544.0</v>
      </c>
      <c r="G2" s="26">
        <v>1306.0</v>
      </c>
      <c r="H2" s="26">
        <v>1230.0</v>
      </c>
      <c r="I2" s="26">
        <v>1377.0</v>
      </c>
      <c r="J2" s="26">
        <v>1355.0</v>
      </c>
      <c r="K2" s="26">
        <v>1468.0</v>
      </c>
      <c r="L2" s="27">
        <v>1357.0</v>
      </c>
      <c r="M2" s="24">
        <f t="shared" ref="M2:M14" si="2">F2+G2+H2+I2+J2+K2+L2</f>
        <v>9637</v>
      </c>
      <c r="N2" s="26">
        <v>6191.0</v>
      </c>
      <c r="O2" s="27">
        <v>3446.0</v>
      </c>
      <c r="P2" s="24">
        <f t="shared" ref="P2:P13" si="3">SUM(N2:O2)</f>
        <v>9637</v>
      </c>
      <c r="Q2" s="26">
        <v>7811.0</v>
      </c>
      <c r="R2" s="27">
        <v>1826.0</v>
      </c>
      <c r="S2" s="24">
        <f t="shared" ref="S2:S13" si="4">SUM(Q2:R2)</f>
        <v>9637</v>
      </c>
      <c r="T2" s="26">
        <v>10135.0</v>
      </c>
      <c r="U2" s="26">
        <v>1940.0</v>
      </c>
      <c r="V2" s="26">
        <v>281.0</v>
      </c>
      <c r="W2" s="26">
        <v>1641.0</v>
      </c>
      <c r="X2" s="26">
        <v>3612.0</v>
      </c>
      <c r="Y2" s="26">
        <v>666.0</v>
      </c>
      <c r="Z2" s="27">
        <v>1131.0</v>
      </c>
      <c r="AA2" s="24">
        <f t="shared" ref="AA2:AA13" si="5">SUM(T2:Z2)</f>
        <v>19406</v>
      </c>
      <c r="AB2" s="26">
        <v>2666.0</v>
      </c>
      <c r="AC2" s="26">
        <v>5941.0</v>
      </c>
      <c r="AD2" s="26">
        <v>5436.0</v>
      </c>
      <c r="AE2" s="26">
        <v>2471.0</v>
      </c>
      <c r="AF2" s="26">
        <v>1452.0</v>
      </c>
      <c r="AG2" s="24">
        <f t="shared" ref="AG2:AG13" si="6">SUM(AB2:AF2)</f>
        <v>17966</v>
      </c>
      <c r="AH2" s="26">
        <v>12878.0</v>
      </c>
      <c r="AI2" s="26">
        <v>5088.0</v>
      </c>
      <c r="AJ2" s="24">
        <f t="shared" ref="AJ2:AJ13" si="7">SUM(AH2:AI2)</f>
        <v>17966</v>
      </c>
      <c r="AK2" s="26">
        <v>10812.0</v>
      </c>
      <c r="AL2" s="26">
        <v>7154.0</v>
      </c>
      <c r="AM2" s="24">
        <f t="shared" ref="AM2:AM13" si="8">SUM(AK2:AL2)</f>
        <v>17966</v>
      </c>
      <c r="AN2" s="26">
        <v>17626.0</v>
      </c>
      <c r="AO2" s="27">
        <v>340.0</v>
      </c>
      <c r="AP2" s="24">
        <f t="shared" ref="AP2:AP13" si="9">SUM(AN2:AO2)</f>
        <v>17966</v>
      </c>
      <c r="AQ2" s="26">
        <v>14294.0</v>
      </c>
      <c r="AR2" s="26">
        <v>2888.0</v>
      </c>
      <c r="AS2" s="26">
        <v>35.0</v>
      </c>
      <c r="AT2" s="26">
        <v>50.0</v>
      </c>
      <c r="AU2" s="27">
        <v>699.0</v>
      </c>
      <c r="AV2" s="24">
        <f>+AQ2+AR2+AS2+AT2+AU2</f>
        <v>17966</v>
      </c>
      <c r="AW2" s="29">
        <f t="shared" ref="AW2:AW13" si="10">AU2</f>
        <v>699</v>
      </c>
      <c r="AX2" s="26">
        <v>12467.0</v>
      </c>
      <c r="AY2" s="27">
        <v>4800.0</v>
      </c>
      <c r="AZ2" s="24">
        <f t="shared" ref="AZ2:AZ13" si="11">SUM(AW2:AY2)</f>
        <v>17966</v>
      </c>
      <c r="BA2" s="30">
        <v>7551.0</v>
      </c>
      <c r="BB2" s="30">
        <v>713.0</v>
      </c>
      <c r="BC2" s="30">
        <v>64.0</v>
      </c>
      <c r="BD2" s="30">
        <v>8.0</v>
      </c>
      <c r="BE2" s="30">
        <v>7.0</v>
      </c>
      <c r="BF2" s="30">
        <v>273.0</v>
      </c>
      <c r="BG2" s="30">
        <v>288.0</v>
      </c>
      <c r="BH2" s="31">
        <v>733.0</v>
      </c>
      <c r="BI2" s="24">
        <f t="shared" ref="BI2:BI13" si="12">SUM(BA2:BH2)</f>
        <v>9637</v>
      </c>
      <c r="BJ2" s="30">
        <v>763.0</v>
      </c>
      <c r="BK2" s="30">
        <v>520.0</v>
      </c>
      <c r="BL2" s="30">
        <v>898.0</v>
      </c>
      <c r="BM2" s="30">
        <v>1957.0</v>
      </c>
      <c r="BN2" s="30">
        <v>2613.0</v>
      </c>
      <c r="BO2" s="30">
        <v>47.0</v>
      </c>
      <c r="BP2" s="31">
        <v>2839.0</v>
      </c>
      <c r="BQ2" s="24">
        <f t="shared" ref="BQ2:BQ13" si="13">SUM(BJ2:BP2)</f>
        <v>9637</v>
      </c>
      <c r="BR2" s="30">
        <v>430.0</v>
      </c>
      <c r="BS2" s="30">
        <v>105.0</v>
      </c>
      <c r="BT2" s="31">
        <v>13792.0</v>
      </c>
      <c r="BU2" s="24">
        <f t="shared" ref="BU2:BU14" si="14">SUM(BR2:BT2)</f>
        <v>14327</v>
      </c>
    </row>
    <row r="3" ht="21.0" customHeight="1">
      <c r="A3" s="24" t="s">
        <v>70</v>
      </c>
      <c r="B3" s="33">
        <v>7495.0</v>
      </c>
      <c r="C3" s="30">
        <v>256.0</v>
      </c>
      <c r="D3" s="31">
        <v>90.0</v>
      </c>
      <c r="E3" s="28">
        <f t="shared" si="1"/>
        <v>7841</v>
      </c>
      <c r="F3" s="30">
        <v>1254.0</v>
      </c>
      <c r="G3" s="30">
        <v>1085.0</v>
      </c>
      <c r="H3" s="30">
        <v>1006.0</v>
      </c>
      <c r="I3" s="30">
        <v>1098.0</v>
      </c>
      <c r="J3" s="30">
        <v>1045.0</v>
      </c>
      <c r="K3" s="30">
        <v>1191.0</v>
      </c>
      <c r="L3" s="31">
        <v>1162.0</v>
      </c>
      <c r="M3" s="24">
        <f t="shared" si="2"/>
        <v>7841</v>
      </c>
      <c r="N3" s="30">
        <v>4155.0</v>
      </c>
      <c r="O3" s="31">
        <v>3686.0</v>
      </c>
      <c r="P3" s="24">
        <f t="shared" si="3"/>
        <v>7841</v>
      </c>
      <c r="Q3" s="30">
        <v>5929.0</v>
      </c>
      <c r="R3" s="31">
        <v>1912.0</v>
      </c>
      <c r="S3" s="24">
        <f t="shared" si="4"/>
        <v>7841</v>
      </c>
      <c r="T3" s="30">
        <v>12102.0</v>
      </c>
      <c r="U3" s="30">
        <v>1291.0</v>
      </c>
      <c r="V3" s="30">
        <v>384.0</v>
      </c>
      <c r="W3" s="30">
        <v>1436.0</v>
      </c>
      <c r="X3" s="30">
        <v>1311.0</v>
      </c>
      <c r="Y3" s="30">
        <v>142.0</v>
      </c>
      <c r="Z3" s="31">
        <v>514.0</v>
      </c>
      <c r="AA3" s="24">
        <f t="shared" si="5"/>
        <v>17180</v>
      </c>
      <c r="AB3" s="30">
        <v>2536.0</v>
      </c>
      <c r="AC3" s="30">
        <v>5910.0</v>
      </c>
      <c r="AD3" s="30">
        <v>5042.0</v>
      </c>
      <c r="AE3" s="30">
        <v>2440.0</v>
      </c>
      <c r="AF3" s="30">
        <v>1252.0</v>
      </c>
      <c r="AG3" s="24">
        <f t="shared" si="6"/>
        <v>17180</v>
      </c>
      <c r="AH3" s="30">
        <v>11944.0</v>
      </c>
      <c r="AI3" s="30">
        <v>5236.0</v>
      </c>
      <c r="AJ3" s="24">
        <f t="shared" si="7"/>
        <v>17180</v>
      </c>
      <c r="AK3" s="30">
        <v>9293.0</v>
      </c>
      <c r="AL3" s="30">
        <v>7887.0</v>
      </c>
      <c r="AM3" s="24">
        <f t="shared" si="8"/>
        <v>17180</v>
      </c>
      <c r="AN3" s="30">
        <v>16801.0</v>
      </c>
      <c r="AO3" s="31">
        <v>379.0</v>
      </c>
      <c r="AP3" s="24">
        <f t="shared" si="9"/>
        <v>17180</v>
      </c>
      <c r="AQ3" s="30">
        <v>11603.0</v>
      </c>
      <c r="AR3" s="30">
        <v>4691.0</v>
      </c>
      <c r="AS3" s="30">
        <v>43.0</v>
      </c>
      <c r="AT3" s="30">
        <v>49.0</v>
      </c>
      <c r="AU3" s="31">
        <v>794.0</v>
      </c>
      <c r="AV3" s="24">
        <f t="shared" ref="AV3:AV13" si="15">SUM(AQ3:AU3)</f>
        <v>17180</v>
      </c>
      <c r="AW3" s="29">
        <f t="shared" si="10"/>
        <v>794</v>
      </c>
      <c r="AX3" s="30">
        <v>14790.0</v>
      </c>
      <c r="AY3" s="31">
        <v>1596.0</v>
      </c>
      <c r="AZ3" s="24">
        <f t="shared" si="11"/>
        <v>17180</v>
      </c>
      <c r="BA3" s="30">
        <v>6603.0</v>
      </c>
      <c r="BB3" s="30">
        <v>241.0</v>
      </c>
      <c r="BC3" s="30">
        <v>67.0</v>
      </c>
      <c r="BD3" s="30">
        <v>31.0</v>
      </c>
      <c r="BE3" s="30">
        <v>10.0</v>
      </c>
      <c r="BF3" s="30">
        <v>352.0</v>
      </c>
      <c r="BG3" s="30">
        <v>356.0</v>
      </c>
      <c r="BH3" s="31">
        <v>181.0</v>
      </c>
      <c r="BI3" s="24">
        <f t="shared" si="12"/>
        <v>7841</v>
      </c>
      <c r="BJ3" s="30">
        <v>986.0</v>
      </c>
      <c r="BK3" s="30">
        <v>352.0</v>
      </c>
      <c r="BL3" s="30">
        <v>488.0</v>
      </c>
      <c r="BM3" s="30">
        <v>441.0</v>
      </c>
      <c r="BN3" s="30">
        <v>2790.0</v>
      </c>
      <c r="BO3" s="30">
        <v>2.0</v>
      </c>
      <c r="BP3" s="31">
        <v>2782.0</v>
      </c>
      <c r="BQ3" s="24">
        <f t="shared" si="13"/>
        <v>7841</v>
      </c>
      <c r="BR3" s="30">
        <v>549.0</v>
      </c>
      <c r="BS3" s="30">
        <v>104.0</v>
      </c>
      <c r="BT3" s="31">
        <v>13221.0</v>
      </c>
      <c r="BU3" s="24">
        <f t="shared" si="14"/>
        <v>13874</v>
      </c>
    </row>
    <row r="4" ht="21.0" customHeight="1">
      <c r="A4" s="24" t="s">
        <v>71</v>
      </c>
      <c r="B4" s="33">
        <v>7631.0</v>
      </c>
      <c r="C4" s="30">
        <v>305.0</v>
      </c>
      <c r="D4" s="31">
        <v>86.0</v>
      </c>
      <c r="E4" s="28">
        <f t="shared" si="1"/>
        <v>8022</v>
      </c>
      <c r="F4" s="30">
        <v>1128.0</v>
      </c>
      <c r="G4" s="30">
        <v>1098.0</v>
      </c>
      <c r="H4" s="30">
        <v>1234.0</v>
      </c>
      <c r="I4" s="30">
        <v>1105.0</v>
      </c>
      <c r="J4" s="30">
        <v>987.0</v>
      </c>
      <c r="K4" s="30">
        <v>1194.0</v>
      </c>
      <c r="L4" s="31">
        <v>1276.0</v>
      </c>
      <c r="M4" s="24">
        <f t="shared" si="2"/>
        <v>8022</v>
      </c>
      <c r="N4" s="30">
        <v>4214.0</v>
      </c>
      <c r="O4" s="31">
        <v>3808.0</v>
      </c>
      <c r="P4" s="24">
        <f t="shared" si="3"/>
        <v>8022</v>
      </c>
      <c r="Q4" s="30">
        <v>5936.0</v>
      </c>
      <c r="R4" s="31">
        <v>2086.0</v>
      </c>
      <c r="S4" s="24">
        <f t="shared" si="4"/>
        <v>8022</v>
      </c>
      <c r="T4" s="30">
        <v>12314.0</v>
      </c>
      <c r="U4" s="30">
        <v>1318.0</v>
      </c>
      <c r="V4" s="30">
        <v>232.0</v>
      </c>
      <c r="W4" s="30">
        <v>1330.0</v>
      </c>
      <c r="X4" s="30">
        <v>1298.0</v>
      </c>
      <c r="Y4" s="30">
        <v>156.0</v>
      </c>
      <c r="Z4" s="31">
        <v>414.0</v>
      </c>
      <c r="AA4" s="24">
        <f t="shared" si="5"/>
        <v>17062</v>
      </c>
      <c r="AB4" s="30">
        <v>1891.0</v>
      </c>
      <c r="AC4" s="30">
        <v>5997.0</v>
      </c>
      <c r="AD4" s="30">
        <v>5411.0</v>
      </c>
      <c r="AE4" s="30">
        <v>2447.0</v>
      </c>
      <c r="AF4" s="30">
        <v>1316.0</v>
      </c>
      <c r="AG4" s="24">
        <f t="shared" si="6"/>
        <v>17062</v>
      </c>
      <c r="AH4" s="30">
        <v>11789.0</v>
      </c>
      <c r="AI4" s="30">
        <v>5273.0</v>
      </c>
      <c r="AJ4" s="24">
        <f t="shared" si="7"/>
        <v>17062</v>
      </c>
      <c r="AK4" s="30">
        <v>9397.0</v>
      </c>
      <c r="AL4" s="30">
        <v>7665.0</v>
      </c>
      <c r="AM4" s="24">
        <f t="shared" si="8"/>
        <v>17062</v>
      </c>
      <c r="AN4" s="30">
        <v>16797.0</v>
      </c>
      <c r="AO4" s="31">
        <v>265.0</v>
      </c>
      <c r="AP4" s="24">
        <f t="shared" si="9"/>
        <v>17062</v>
      </c>
      <c r="AQ4" s="30">
        <v>14180.0</v>
      </c>
      <c r="AR4" s="30">
        <v>2126.0</v>
      </c>
      <c r="AS4" s="30">
        <v>156.0</v>
      </c>
      <c r="AT4" s="30">
        <v>51.0</v>
      </c>
      <c r="AU4" s="31">
        <v>549.0</v>
      </c>
      <c r="AV4" s="24">
        <f t="shared" si="15"/>
        <v>17062</v>
      </c>
      <c r="AW4" s="29">
        <f t="shared" si="10"/>
        <v>549</v>
      </c>
      <c r="AX4" s="30">
        <v>11996.0</v>
      </c>
      <c r="AY4" s="31">
        <v>4517.0</v>
      </c>
      <c r="AZ4" s="24">
        <f t="shared" si="11"/>
        <v>17062</v>
      </c>
      <c r="BA4" s="30">
        <v>6305.0</v>
      </c>
      <c r="BB4" s="30">
        <v>637.0</v>
      </c>
      <c r="BC4" s="30">
        <v>92.0</v>
      </c>
      <c r="BD4" s="30">
        <v>9.0</v>
      </c>
      <c r="BE4" s="30">
        <v>11.0</v>
      </c>
      <c r="BF4" s="30">
        <v>339.0</v>
      </c>
      <c r="BG4" s="30">
        <v>327.0</v>
      </c>
      <c r="BH4" s="31">
        <v>302.0</v>
      </c>
      <c r="BI4" s="24">
        <f t="shared" si="12"/>
        <v>8022</v>
      </c>
      <c r="BJ4" s="30">
        <v>1114.0</v>
      </c>
      <c r="BK4" s="30">
        <v>367.0</v>
      </c>
      <c r="BL4" s="30">
        <v>406.0</v>
      </c>
      <c r="BM4" s="30">
        <v>243.0</v>
      </c>
      <c r="BN4" s="30">
        <v>2708.0</v>
      </c>
      <c r="BO4" s="30">
        <v>6.0</v>
      </c>
      <c r="BP4" s="31">
        <v>3178.0</v>
      </c>
      <c r="BQ4" s="24">
        <f t="shared" si="13"/>
        <v>8022</v>
      </c>
      <c r="BR4" s="30">
        <v>458.0</v>
      </c>
      <c r="BS4" s="30">
        <v>113.0</v>
      </c>
      <c r="BT4" s="31">
        <v>13637.0</v>
      </c>
      <c r="BU4" s="24">
        <f t="shared" si="14"/>
        <v>14208</v>
      </c>
    </row>
    <row r="5" ht="21.0" customHeight="1">
      <c r="A5" s="24" t="s">
        <v>72</v>
      </c>
      <c r="B5" s="33">
        <v>8941.0</v>
      </c>
      <c r="C5" s="30">
        <v>315.0</v>
      </c>
      <c r="D5" s="31">
        <v>84.0</v>
      </c>
      <c r="E5" s="28">
        <f t="shared" si="1"/>
        <v>9340</v>
      </c>
      <c r="F5" s="30">
        <v>1381.0</v>
      </c>
      <c r="G5" s="30">
        <v>1246.0</v>
      </c>
      <c r="H5" s="30">
        <v>1214.0</v>
      </c>
      <c r="I5" s="30">
        <v>1288.0</v>
      </c>
      <c r="J5" s="30">
        <v>1326.0</v>
      </c>
      <c r="K5" s="30">
        <v>1434.0</v>
      </c>
      <c r="L5" s="31">
        <v>1451.0</v>
      </c>
      <c r="M5" s="24">
        <f t="shared" si="2"/>
        <v>9340</v>
      </c>
      <c r="N5" s="30">
        <v>5864.0</v>
      </c>
      <c r="O5" s="31">
        <v>3476.0</v>
      </c>
      <c r="P5" s="24">
        <f t="shared" si="3"/>
        <v>9340</v>
      </c>
      <c r="Q5" s="30">
        <v>7392.0</v>
      </c>
      <c r="R5" s="31">
        <v>1948.0</v>
      </c>
      <c r="S5" s="24">
        <f t="shared" si="4"/>
        <v>9340</v>
      </c>
      <c r="T5" s="30">
        <v>7912.0</v>
      </c>
      <c r="U5" s="30">
        <v>1745.0</v>
      </c>
      <c r="V5" s="30">
        <v>351.0</v>
      </c>
      <c r="W5" s="30">
        <v>1516.0</v>
      </c>
      <c r="X5" s="30">
        <v>1498.0</v>
      </c>
      <c r="Y5" s="30">
        <v>288.0</v>
      </c>
      <c r="Z5" s="31">
        <v>632.0</v>
      </c>
      <c r="AA5" s="24">
        <f t="shared" si="5"/>
        <v>13942</v>
      </c>
      <c r="AB5" s="30">
        <v>824.0</v>
      </c>
      <c r="AC5" s="30">
        <v>4766.0</v>
      </c>
      <c r="AD5" s="30">
        <v>4213.0</v>
      </c>
      <c r="AE5" s="30">
        <v>2481.0</v>
      </c>
      <c r="AF5" s="30">
        <v>1658.0</v>
      </c>
      <c r="AG5" s="24">
        <f t="shared" si="6"/>
        <v>13942</v>
      </c>
      <c r="AH5" s="30">
        <v>9314.0</v>
      </c>
      <c r="AI5" s="30">
        <v>4628.0</v>
      </c>
      <c r="AJ5" s="24">
        <f t="shared" si="7"/>
        <v>13942</v>
      </c>
      <c r="AK5" s="30">
        <v>7992.0</v>
      </c>
      <c r="AL5" s="30">
        <v>5950.0</v>
      </c>
      <c r="AM5" s="24">
        <f t="shared" si="8"/>
        <v>13942</v>
      </c>
      <c r="AN5" s="30">
        <v>13628.0</v>
      </c>
      <c r="AO5" s="31">
        <v>314.0</v>
      </c>
      <c r="AP5" s="24">
        <f t="shared" si="9"/>
        <v>13942</v>
      </c>
      <c r="AQ5" s="30">
        <v>9685.0</v>
      </c>
      <c r="AR5" s="30">
        <v>3690.0</v>
      </c>
      <c r="AS5" s="30">
        <v>49.0</v>
      </c>
      <c r="AT5" s="30">
        <v>45.0</v>
      </c>
      <c r="AU5" s="31">
        <v>473.0</v>
      </c>
      <c r="AV5" s="24">
        <f t="shared" si="15"/>
        <v>13942</v>
      </c>
      <c r="AW5" s="29">
        <f t="shared" si="10"/>
        <v>473</v>
      </c>
      <c r="AX5" s="30">
        <v>13099.0</v>
      </c>
      <c r="AY5" s="31">
        <v>370.0</v>
      </c>
      <c r="AZ5" s="24">
        <f t="shared" si="11"/>
        <v>13942</v>
      </c>
      <c r="BA5" s="30">
        <v>6781.0</v>
      </c>
      <c r="BB5" s="30">
        <v>458.0</v>
      </c>
      <c r="BC5" s="30">
        <v>92.0</v>
      </c>
      <c r="BD5" s="30">
        <v>7.0</v>
      </c>
      <c r="BE5" s="30">
        <v>11.0</v>
      </c>
      <c r="BF5" s="30">
        <v>345.0</v>
      </c>
      <c r="BG5" s="30">
        <v>397.0</v>
      </c>
      <c r="BH5" s="31">
        <v>1249.0</v>
      </c>
      <c r="BI5" s="24">
        <f t="shared" si="12"/>
        <v>9340</v>
      </c>
      <c r="BJ5" s="30">
        <v>1214.0</v>
      </c>
      <c r="BK5" s="30">
        <v>385.0</v>
      </c>
      <c r="BL5" s="30">
        <v>409.0</v>
      </c>
      <c r="BM5" s="30">
        <v>381.0</v>
      </c>
      <c r="BN5" s="30">
        <v>1719.0</v>
      </c>
      <c r="BO5" s="30">
        <v>3.0</v>
      </c>
      <c r="BP5" s="31">
        <v>5229.0</v>
      </c>
      <c r="BQ5" s="24">
        <f t="shared" si="13"/>
        <v>9340</v>
      </c>
      <c r="BR5" s="30">
        <v>497.0</v>
      </c>
      <c r="BS5" s="30">
        <v>102.0</v>
      </c>
      <c r="BT5" s="31">
        <v>15246.0</v>
      </c>
      <c r="BU5" s="24">
        <f t="shared" si="14"/>
        <v>15845</v>
      </c>
    </row>
    <row r="6" ht="21.0" customHeight="1">
      <c r="A6" s="34" t="s">
        <v>73</v>
      </c>
      <c r="B6" s="33">
        <v>9600.0</v>
      </c>
      <c r="C6" s="30">
        <v>255.0</v>
      </c>
      <c r="D6" s="31">
        <v>82.0</v>
      </c>
      <c r="E6" s="28">
        <f t="shared" si="1"/>
        <v>9937</v>
      </c>
      <c r="F6" s="30">
        <v>1555.0</v>
      </c>
      <c r="G6" s="30">
        <v>1491.0</v>
      </c>
      <c r="H6" s="30">
        <v>1237.0</v>
      </c>
      <c r="I6" s="30">
        <v>1464.0</v>
      </c>
      <c r="J6" s="30">
        <v>1136.0</v>
      </c>
      <c r="K6" s="30">
        <v>1583.0</v>
      </c>
      <c r="L6" s="31">
        <v>1471.0</v>
      </c>
      <c r="M6" s="24">
        <f t="shared" si="2"/>
        <v>9937</v>
      </c>
      <c r="N6" s="30">
        <v>6138.0</v>
      </c>
      <c r="O6" s="31">
        <v>3799.0</v>
      </c>
      <c r="P6" s="24">
        <f t="shared" si="3"/>
        <v>9937</v>
      </c>
      <c r="Q6" s="30">
        <v>8098.0</v>
      </c>
      <c r="R6" s="31">
        <v>1839.0</v>
      </c>
      <c r="S6" s="24">
        <f t="shared" si="4"/>
        <v>9937</v>
      </c>
      <c r="T6" s="30">
        <v>9844.0</v>
      </c>
      <c r="U6" s="30">
        <v>2368.0</v>
      </c>
      <c r="V6" s="30">
        <v>553.0</v>
      </c>
      <c r="W6" s="30">
        <v>1714.0</v>
      </c>
      <c r="X6" s="30">
        <v>2383.0</v>
      </c>
      <c r="Y6" s="30">
        <v>162.0</v>
      </c>
      <c r="Z6" s="31">
        <v>867.0</v>
      </c>
      <c r="AA6" s="24">
        <f t="shared" si="5"/>
        <v>17891</v>
      </c>
      <c r="AB6" s="30">
        <v>3004.0</v>
      </c>
      <c r="AC6" s="30">
        <v>6029.0</v>
      </c>
      <c r="AD6" s="30">
        <v>5338.0</v>
      </c>
      <c r="AE6" s="30">
        <v>2299.0</v>
      </c>
      <c r="AF6" s="30">
        <v>1221.0</v>
      </c>
      <c r="AG6" s="24">
        <f t="shared" si="6"/>
        <v>17891</v>
      </c>
      <c r="AH6" s="30">
        <v>12428.0</v>
      </c>
      <c r="AI6" s="30">
        <v>5463.0</v>
      </c>
      <c r="AJ6" s="24">
        <f t="shared" si="7"/>
        <v>17891</v>
      </c>
      <c r="AK6" s="30">
        <v>10638.0</v>
      </c>
      <c r="AL6" s="30">
        <v>7253.0</v>
      </c>
      <c r="AM6" s="24">
        <f t="shared" si="8"/>
        <v>17891</v>
      </c>
      <c r="AN6" s="30">
        <v>17300.0</v>
      </c>
      <c r="AO6" s="31">
        <v>591.0</v>
      </c>
      <c r="AP6" s="24">
        <f t="shared" si="9"/>
        <v>17891</v>
      </c>
      <c r="AQ6" s="30">
        <v>14061.0</v>
      </c>
      <c r="AR6" s="30">
        <v>2749.0</v>
      </c>
      <c r="AS6" s="30">
        <v>56.0</v>
      </c>
      <c r="AT6" s="30">
        <v>102.0</v>
      </c>
      <c r="AU6" s="31">
        <v>923.0</v>
      </c>
      <c r="AV6" s="24">
        <f t="shared" si="15"/>
        <v>17891</v>
      </c>
      <c r="AW6" s="29">
        <f t="shared" si="10"/>
        <v>923</v>
      </c>
      <c r="AX6" s="30">
        <v>12892.0</v>
      </c>
      <c r="AY6" s="31">
        <v>4076.0</v>
      </c>
      <c r="AZ6" s="24">
        <f t="shared" si="11"/>
        <v>17891</v>
      </c>
      <c r="BA6" s="30">
        <v>7795.0</v>
      </c>
      <c r="BB6" s="30">
        <v>262.0</v>
      </c>
      <c r="BC6" s="30">
        <v>57.0</v>
      </c>
      <c r="BD6" s="30">
        <v>5.0</v>
      </c>
      <c r="BE6" s="30">
        <v>15.0</v>
      </c>
      <c r="BF6" s="30">
        <v>388.0</v>
      </c>
      <c r="BG6" s="30">
        <v>215.0</v>
      </c>
      <c r="BH6" s="31">
        <v>1200.0</v>
      </c>
      <c r="BI6" s="24">
        <f t="shared" si="12"/>
        <v>9937</v>
      </c>
      <c r="BJ6" s="30">
        <v>1517.0</v>
      </c>
      <c r="BK6" s="30">
        <v>581.0</v>
      </c>
      <c r="BL6" s="30">
        <v>570.0</v>
      </c>
      <c r="BM6" s="30">
        <v>873.0</v>
      </c>
      <c r="BN6" s="30">
        <v>1866.0</v>
      </c>
      <c r="BO6" s="30"/>
      <c r="BP6" s="31">
        <v>4530.0</v>
      </c>
      <c r="BQ6" s="24">
        <f t="shared" si="13"/>
        <v>9937</v>
      </c>
      <c r="BR6" s="30">
        <v>423.0</v>
      </c>
      <c r="BS6" s="30">
        <v>90.0</v>
      </c>
      <c r="BT6" s="31">
        <v>19848.0</v>
      </c>
      <c r="BU6" s="24">
        <f t="shared" si="14"/>
        <v>20361</v>
      </c>
    </row>
    <row r="7" ht="21.0" customHeight="1">
      <c r="A7" s="34" t="s">
        <v>74</v>
      </c>
      <c r="B7" s="33">
        <v>8087.0</v>
      </c>
      <c r="C7" s="30">
        <v>193.0</v>
      </c>
      <c r="D7" s="31">
        <v>79.0</v>
      </c>
      <c r="E7" s="28">
        <f t="shared" si="1"/>
        <v>8359</v>
      </c>
      <c r="F7" s="26">
        <v>1106.0</v>
      </c>
      <c r="G7" s="26">
        <v>1323.0</v>
      </c>
      <c r="H7" s="26">
        <v>1169.0</v>
      </c>
      <c r="I7" s="26">
        <v>1183.0</v>
      </c>
      <c r="J7" s="26">
        <v>1103.0</v>
      </c>
      <c r="K7" s="26">
        <v>1134.0</v>
      </c>
      <c r="L7" s="27">
        <v>1341.0</v>
      </c>
      <c r="M7" s="24">
        <f t="shared" si="2"/>
        <v>8359</v>
      </c>
      <c r="N7" s="30">
        <v>4720.0</v>
      </c>
      <c r="O7" s="31">
        <v>3639.0</v>
      </c>
      <c r="P7" s="24">
        <f t="shared" si="3"/>
        <v>8359</v>
      </c>
      <c r="Q7" s="30">
        <v>5513.0</v>
      </c>
      <c r="R7" s="31">
        <v>2846.0</v>
      </c>
      <c r="S7" s="24">
        <f t="shared" si="4"/>
        <v>8359</v>
      </c>
      <c r="T7" s="30">
        <v>8836.0</v>
      </c>
      <c r="U7" s="30">
        <v>1619.0</v>
      </c>
      <c r="V7" s="30">
        <v>384.0</v>
      </c>
      <c r="W7" s="30">
        <v>1436.0</v>
      </c>
      <c r="X7" s="30">
        <v>1311.0</v>
      </c>
      <c r="Y7" s="30">
        <v>142.0</v>
      </c>
      <c r="Z7" s="31">
        <v>514.0</v>
      </c>
      <c r="AA7" s="24">
        <f t="shared" si="5"/>
        <v>14242</v>
      </c>
      <c r="AB7" s="30">
        <v>1124.0</v>
      </c>
      <c r="AC7" s="30">
        <v>6212.0</v>
      </c>
      <c r="AD7" s="30">
        <v>4821.0</v>
      </c>
      <c r="AE7" s="30">
        <v>1634.0</v>
      </c>
      <c r="AF7" s="30">
        <v>451.0</v>
      </c>
      <c r="AG7" s="24">
        <f t="shared" si="6"/>
        <v>14242</v>
      </c>
      <c r="AH7" s="30">
        <v>8215.0</v>
      </c>
      <c r="AI7" s="30">
        <v>6027.0</v>
      </c>
      <c r="AJ7" s="24">
        <f t="shared" si="7"/>
        <v>14242</v>
      </c>
      <c r="AK7" s="30">
        <v>8329.0</v>
      </c>
      <c r="AL7" s="30">
        <v>5913.0</v>
      </c>
      <c r="AM7" s="24">
        <f t="shared" si="8"/>
        <v>14242</v>
      </c>
      <c r="AN7" s="30">
        <v>13610.0</v>
      </c>
      <c r="AO7" s="31">
        <v>632.0</v>
      </c>
      <c r="AP7" s="24">
        <f t="shared" si="9"/>
        <v>14242</v>
      </c>
      <c r="AQ7" s="30">
        <v>10199.0</v>
      </c>
      <c r="AR7" s="30">
        <v>3062.0</v>
      </c>
      <c r="AS7" s="30">
        <v>54.0</v>
      </c>
      <c r="AT7" s="30">
        <v>30.0</v>
      </c>
      <c r="AU7" s="31">
        <v>897.0</v>
      </c>
      <c r="AV7" s="24">
        <f t="shared" si="15"/>
        <v>14242</v>
      </c>
      <c r="AW7" s="29">
        <f t="shared" si="10"/>
        <v>897</v>
      </c>
      <c r="AX7" s="30">
        <v>12398.0</v>
      </c>
      <c r="AY7" s="31">
        <v>947.0</v>
      </c>
      <c r="AZ7" s="24">
        <f t="shared" si="11"/>
        <v>14242</v>
      </c>
      <c r="BA7" s="30">
        <v>6422.0</v>
      </c>
      <c r="BB7" s="30">
        <v>912.0</v>
      </c>
      <c r="BC7" s="30">
        <v>92.0</v>
      </c>
      <c r="BD7" s="30">
        <v>0.0</v>
      </c>
      <c r="BE7" s="30">
        <v>10.0</v>
      </c>
      <c r="BF7" s="30">
        <v>345.0</v>
      </c>
      <c r="BG7" s="30">
        <v>232.0</v>
      </c>
      <c r="BH7" s="31">
        <v>346.0</v>
      </c>
      <c r="BI7" s="24">
        <f t="shared" si="12"/>
        <v>8359</v>
      </c>
      <c r="BJ7" s="30">
        <v>425.0</v>
      </c>
      <c r="BK7" s="30">
        <v>577.0</v>
      </c>
      <c r="BL7" s="30">
        <v>228.0</v>
      </c>
      <c r="BM7" s="30">
        <v>1565.0</v>
      </c>
      <c r="BN7" s="30">
        <v>4.0</v>
      </c>
      <c r="BO7" s="30">
        <v>18.0</v>
      </c>
      <c r="BP7" s="31">
        <v>5542.0</v>
      </c>
      <c r="BQ7" s="24">
        <f t="shared" si="13"/>
        <v>8359</v>
      </c>
      <c r="BR7" s="30">
        <v>391.0</v>
      </c>
      <c r="BS7" s="30">
        <v>102.0</v>
      </c>
      <c r="BT7" s="31">
        <v>13564.0</v>
      </c>
      <c r="BU7" s="24">
        <f t="shared" si="14"/>
        <v>14057</v>
      </c>
    </row>
    <row r="8" ht="16.5" customHeight="1">
      <c r="A8" s="24" t="s">
        <v>75</v>
      </c>
      <c r="B8" s="33">
        <v>8142.0</v>
      </c>
      <c r="C8" s="30">
        <v>223.0</v>
      </c>
      <c r="D8" s="31">
        <v>66.0</v>
      </c>
      <c r="E8" s="127">
        <f t="shared" si="1"/>
        <v>8431</v>
      </c>
      <c r="F8" s="30">
        <v>1354.0</v>
      </c>
      <c r="G8" s="30">
        <v>1181.0</v>
      </c>
      <c r="H8" s="30">
        <v>1143.0</v>
      </c>
      <c r="I8" s="30">
        <v>902.0</v>
      </c>
      <c r="J8" s="30">
        <v>1116.0</v>
      </c>
      <c r="K8" s="30">
        <v>1346.0</v>
      </c>
      <c r="L8" s="31">
        <v>1389.0</v>
      </c>
      <c r="M8" s="24">
        <f t="shared" si="2"/>
        <v>8431</v>
      </c>
      <c r="N8" s="30">
        <v>5226.0</v>
      </c>
      <c r="O8" s="31">
        <v>3205.0</v>
      </c>
      <c r="P8" s="24">
        <f t="shared" si="3"/>
        <v>8431</v>
      </c>
      <c r="Q8" s="30">
        <v>5659.0</v>
      </c>
      <c r="R8" s="31">
        <v>2772.0</v>
      </c>
      <c r="S8" s="24">
        <f t="shared" si="4"/>
        <v>8431</v>
      </c>
      <c r="T8" s="30">
        <v>8751.0</v>
      </c>
      <c r="U8" s="30">
        <v>1412.0</v>
      </c>
      <c r="V8" s="30">
        <v>372.0</v>
      </c>
      <c r="W8" s="30">
        <v>1398.0</v>
      </c>
      <c r="X8" s="30">
        <v>1402.0</v>
      </c>
      <c r="Y8" s="30">
        <v>155.0</v>
      </c>
      <c r="Z8" s="31">
        <v>523.0</v>
      </c>
      <c r="AA8" s="24">
        <f t="shared" si="5"/>
        <v>14013</v>
      </c>
      <c r="AB8" s="30">
        <v>884.0</v>
      </c>
      <c r="AC8" s="30">
        <v>5864.0</v>
      </c>
      <c r="AD8" s="30">
        <v>4633.0</v>
      </c>
      <c r="AE8" s="30">
        <v>1990.0</v>
      </c>
      <c r="AF8" s="30">
        <v>642.0</v>
      </c>
      <c r="AG8" s="24">
        <f t="shared" si="6"/>
        <v>14013</v>
      </c>
      <c r="AH8" s="30">
        <v>7965.0</v>
      </c>
      <c r="AI8" s="30">
        <v>6048.0</v>
      </c>
      <c r="AJ8" s="24">
        <f t="shared" si="7"/>
        <v>14013</v>
      </c>
      <c r="AK8" s="30">
        <v>8416.0</v>
      </c>
      <c r="AL8" s="30">
        <v>5597.0</v>
      </c>
      <c r="AM8" s="24">
        <f t="shared" si="8"/>
        <v>14013</v>
      </c>
      <c r="AN8" s="30">
        <v>13680.0</v>
      </c>
      <c r="AO8" s="31">
        <v>333.0</v>
      </c>
      <c r="AP8" s="24">
        <f t="shared" si="9"/>
        <v>14013</v>
      </c>
      <c r="AQ8" s="30">
        <v>10539.0</v>
      </c>
      <c r="AR8" s="30">
        <v>2794.0</v>
      </c>
      <c r="AS8" s="30">
        <v>63.0</v>
      </c>
      <c r="AT8" s="30">
        <v>18.0</v>
      </c>
      <c r="AU8" s="31">
        <v>599.0</v>
      </c>
      <c r="AV8" s="24">
        <f t="shared" si="15"/>
        <v>14013</v>
      </c>
      <c r="AW8" s="29">
        <f t="shared" si="10"/>
        <v>599</v>
      </c>
      <c r="AX8" s="30">
        <v>12887.0</v>
      </c>
      <c r="AY8" s="31">
        <v>527.0</v>
      </c>
      <c r="AZ8" s="24">
        <f t="shared" si="11"/>
        <v>14013</v>
      </c>
      <c r="BA8" s="30">
        <v>6955.0</v>
      </c>
      <c r="BB8" s="30">
        <v>509.0</v>
      </c>
      <c r="BC8" s="30">
        <v>81.0</v>
      </c>
      <c r="BD8" s="30">
        <v>4.0</v>
      </c>
      <c r="BE8" s="30">
        <v>9.0</v>
      </c>
      <c r="BF8" s="30">
        <v>291.0</v>
      </c>
      <c r="BG8" s="30">
        <v>308.0</v>
      </c>
      <c r="BH8" s="31">
        <v>274.0</v>
      </c>
      <c r="BI8" s="24">
        <f t="shared" si="12"/>
        <v>8431</v>
      </c>
      <c r="BJ8" s="30">
        <v>1485.0</v>
      </c>
      <c r="BK8" s="30">
        <v>423.0</v>
      </c>
      <c r="BL8" s="30">
        <v>427.0</v>
      </c>
      <c r="BM8" s="30">
        <v>211.0</v>
      </c>
      <c r="BN8" s="30">
        <v>1665.0</v>
      </c>
      <c r="BO8" s="30">
        <v>3.0</v>
      </c>
      <c r="BP8" s="31">
        <v>4217.0</v>
      </c>
      <c r="BQ8" s="24">
        <f t="shared" si="13"/>
        <v>8431</v>
      </c>
      <c r="BR8" s="30">
        <v>369.0</v>
      </c>
      <c r="BS8" s="30">
        <v>85.0</v>
      </c>
      <c r="BT8" s="31">
        <v>14106.0</v>
      </c>
      <c r="BU8" s="24">
        <f t="shared" si="14"/>
        <v>14560</v>
      </c>
    </row>
    <row r="9" ht="21.0" customHeight="1">
      <c r="A9" s="24" t="s">
        <v>76</v>
      </c>
      <c r="B9" s="33">
        <v>10008.0</v>
      </c>
      <c r="C9" s="30">
        <v>178.0</v>
      </c>
      <c r="D9" s="31">
        <v>62.0</v>
      </c>
      <c r="E9" s="28">
        <f t="shared" si="1"/>
        <v>10248</v>
      </c>
      <c r="F9" s="30">
        <v>1419.0</v>
      </c>
      <c r="G9" s="30">
        <v>1732.0</v>
      </c>
      <c r="H9" s="30">
        <v>1041.0</v>
      </c>
      <c r="I9" s="30">
        <v>1567.0</v>
      </c>
      <c r="J9" s="30">
        <v>1448.0</v>
      </c>
      <c r="K9" s="30">
        <v>1626.0</v>
      </c>
      <c r="L9" s="31">
        <v>1415.0</v>
      </c>
      <c r="M9" s="24">
        <f t="shared" si="2"/>
        <v>10248</v>
      </c>
      <c r="N9" s="30">
        <v>6512.0</v>
      </c>
      <c r="O9" s="31">
        <v>3736.0</v>
      </c>
      <c r="P9" s="24">
        <f t="shared" si="3"/>
        <v>10248</v>
      </c>
      <c r="Q9" s="30">
        <v>6542.0</v>
      </c>
      <c r="R9" s="31">
        <v>3706.0</v>
      </c>
      <c r="S9" s="24">
        <f t="shared" si="4"/>
        <v>10248</v>
      </c>
      <c r="T9" s="30">
        <v>11512.0</v>
      </c>
      <c r="U9" s="30">
        <v>1345.0</v>
      </c>
      <c r="V9" s="30">
        <v>384.0</v>
      </c>
      <c r="W9" s="30">
        <v>1436.0</v>
      </c>
      <c r="X9" s="30">
        <v>1311.0</v>
      </c>
      <c r="Y9" s="30">
        <v>142.0</v>
      </c>
      <c r="Z9" s="31">
        <v>514.0</v>
      </c>
      <c r="AA9" s="24">
        <f t="shared" si="5"/>
        <v>16644</v>
      </c>
      <c r="AB9" s="30">
        <v>1676.0</v>
      </c>
      <c r="AC9" s="30">
        <v>7679.0</v>
      </c>
      <c r="AD9" s="30">
        <v>4937.0</v>
      </c>
      <c r="AE9" s="30">
        <v>1805.0</v>
      </c>
      <c r="AF9" s="30">
        <v>547.0</v>
      </c>
      <c r="AG9" s="24">
        <f t="shared" si="6"/>
        <v>16644</v>
      </c>
      <c r="AH9" s="30">
        <v>9928.0</v>
      </c>
      <c r="AI9" s="30">
        <v>6716.0</v>
      </c>
      <c r="AJ9" s="24">
        <f t="shared" si="7"/>
        <v>16644</v>
      </c>
      <c r="AK9" s="30">
        <v>9288.0</v>
      </c>
      <c r="AL9" s="30">
        <v>7356.0</v>
      </c>
      <c r="AM9" s="24">
        <f t="shared" si="8"/>
        <v>16644</v>
      </c>
      <c r="AN9" s="30">
        <v>16315.0</v>
      </c>
      <c r="AO9" s="31">
        <v>329.0</v>
      </c>
      <c r="AP9" s="24">
        <f t="shared" si="9"/>
        <v>16644</v>
      </c>
      <c r="AQ9" s="30">
        <v>10229.0</v>
      </c>
      <c r="AR9" s="30">
        <v>2673.0</v>
      </c>
      <c r="AS9" s="30">
        <v>42.0</v>
      </c>
      <c r="AT9" s="30">
        <v>29.0</v>
      </c>
      <c r="AU9" s="31">
        <v>3671.0</v>
      </c>
      <c r="AV9" s="24">
        <f t="shared" si="15"/>
        <v>16644</v>
      </c>
      <c r="AW9" s="29">
        <f t="shared" si="10"/>
        <v>3671</v>
      </c>
      <c r="AX9" s="30">
        <v>12486.0</v>
      </c>
      <c r="AY9" s="31">
        <v>487.0</v>
      </c>
      <c r="AZ9" s="101">
        <f t="shared" si="11"/>
        <v>16644</v>
      </c>
      <c r="BA9" s="30">
        <v>9149.0</v>
      </c>
      <c r="BB9" s="30">
        <v>0.0</v>
      </c>
      <c r="BC9" s="30">
        <v>68.0</v>
      </c>
      <c r="BD9" s="30">
        <v>0.0</v>
      </c>
      <c r="BE9" s="30">
        <v>2.0</v>
      </c>
      <c r="BF9" s="30">
        <v>228.0</v>
      </c>
      <c r="BG9" s="30">
        <v>349.0</v>
      </c>
      <c r="BH9" s="31">
        <v>452.0</v>
      </c>
      <c r="BI9" s="24">
        <f t="shared" si="12"/>
        <v>10248</v>
      </c>
      <c r="BJ9" s="30">
        <v>1787.0</v>
      </c>
      <c r="BK9" s="30">
        <v>638.0</v>
      </c>
      <c r="BL9" s="30">
        <v>1128.0</v>
      </c>
      <c r="BM9" s="30">
        <v>273.0</v>
      </c>
      <c r="BN9" s="30">
        <v>1757.0</v>
      </c>
      <c r="BO9" s="30">
        <v>3.0</v>
      </c>
      <c r="BP9" s="31">
        <v>4662.0</v>
      </c>
      <c r="BQ9" s="24">
        <f t="shared" si="13"/>
        <v>10248</v>
      </c>
      <c r="BR9" s="30">
        <v>379.0</v>
      </c>
      <c r="BS9" s="30">
        <v>77.0</v>
      </c>
      <c r="BT9" s="31">
        <v>20414.0</v>
      </c>
      <c r="BU9" s="24">
        <f t="shared" si="14"/>
        <v>20870</v>
      </c>
    </row>
    <row r="10" ht="21.0" customHeight="1">
      <c r="A10" s="24" t="s">
        <v>77</v>
      </c>
      <c r="B10" s="33">
        <v>5332.0</v>
      </c>
      <c r="C10" s="30">
        <v>150.0</v>
      </c>
      <c r="D10" s="31">
        <v>74.0</v>
      </c>
      <c r="E10" s="28">
        <f t="shared" si="1"/>
        <v>5556</v>
      </c>
      <c r="F10" s="30">
        <v>696.0</v>
      </c>
      <c r="G10" s="30">
        <v>817.0</v>
      </c>
      <c r="H10" s="30">
        <v>970.0</v>
      </c>
      <c r="I10" s="30">
        <v>824.0</v>
      </c>
      <c r="J10" s="30">
        <v>600.0</v>
      </c>
      <c r="K10" s="30">
        <v>743.0</v>
      </c>
      <c r="L10" s="31">
        <v>906.0</v>
      </c>
      <c r="M10" s="24">
        <f t="shared" si="2"/>
        <v>5556</v>
      </c>
      <c r="N10" s="30">
        <v>2840.0</v>
      </c>
      <c r="O10" s="31">
        <v>2716.0</v>
      </c>
      <c r="P10" s="24">
        <f t="shared" si="3"/>
        <v>5556</v>
      </c>
      <c r="Q10" s="30">
        <v>2516.0</v>
      </c>
      <c r="R10" s="31">
        <v>3040.0</v>
      </c>
      <c r="S10" s="24">
        <f t="shared" si="4"/>
        <v>5556</v>
      </c>
      <c r="T10" s="30">
        <v>8500.0</v>
      </c>
      <c r="U10" s="30">
        <v>1300.0</v>
      </c>
      <c r="V10" s="30">
        <v>392.0</v>
      </c>
      <c r="W10" s="30">
        <v>1642.0</v>
      </c>
      <c r="X10" s="30">
        <v>1088.0</v>
      </c>
      <c r="Y10" s="30">
        <v>142.0</v>
      </c>
      <c r="Z10" s="31">
        <v>390.0</v>
      </c>
      <c r="AA10" s="24">
        <f t="shared" si="5"/>
        <v>13454</v>
      </c>
      <c r="AB10" s="30">
        <v>1203.0</v>
      </c>
      <c r="AC10" s="30">
        <v>4894.0</v>
      </c>
      <c r="AD10" s="30">
        <v>4719.0</v>
      </c>
      <c r="AE10" s="30">
        <v>1600.0</v>
      </c>
      <c r="AF10" s="30">
        <v>1038.0</v>
      </c>
      <c r="AG10" s="24">
        <f t="shared" si="6"/>
        <v>13454</v>
      </c>
      <c r="AH10" s="30">
        <v>8192.0</v>
      </c>
      <c r="AI10" s="30">
        <v>5262.0</v>
      </c>
      <c r="AJ10" s="24">
        <f t="shared" si="7"/>
        <v>13454</v>
      </c>
      <c r="AK10" s="30">
        <v>7947.0</v>
      </c>
      <c r="AL10" s="30">
        <v>5507.0</v>
      </c>
      <c r="AM10" s="24">
        <f t="shared" si="8"/>
        <v>13454</v>
      </c>
      <c r="AN10" s="30">
        <v>13126.0</v>
      </c>
      <c r="AO10" s="31">
        <v>328.0</v>
      </c>
      <c r="AP10" s="24">
        <f t="shared" si="9"/>
        <v>13454</v>
      </c>
      <c r="AQ10" s="30">
        <v>8799.0</v>
      </c>
      <c r="AR10" s="30">
        <v>3795.0</v>
      </c>
      <c r="AS10" s="30">
        <v>134.0</v>
      </c>
      <c r="AT10" s="30">
        <v>43.0</v>
      </c>
      <c r="AU10" s="31">
        <v>683.0</v>
      </c>
      <c r="AV10" s="24">
        <f t="shared" si="15"/>
        <v>13454</v>
      </c>
      <c r="AW10" s="29">
        <f t="shared" si="10"/>
        <v>683</v>
      </c>
      <c r="AX10" s="30">
        <v>11901.0</v>
      </c>
      <c r="AY10" s="31">
        <v>870.0</v>
      </c>
      <c r="AZ10" s="24">
        <f t="shared" si="11"/>
        <v>13454</v>
      </c>
      <c r="BA10" s="30">
        <v>4121.0</v>
      </c>
      <c r="BB10" s="30">
        <v>452.0</v>
      </c>
      <c r="BC10" s="30">
        <v>89.0</v>
      </c>
      <c r="BD10" s="30">
        <v>7.0</v>
      </c>
      <c r="BE10" s="30">
        <v>8.0</v>
      </c>
      <c r="BF10" s="30">
        <v>327.0</v>
      </c>
      <c r="BG10" s="30">
        <v>291.0</v>
      </c>
      <c r="BH10" s="31">
        <v>261.0</v>
      </c>
      <c r="BI10" s="24">
        <f t="shared" si="12"/>
        <v>5556</v>
      </c>
      <c r="BJ10" s="30">
        <v>850.0</v>
      </c>
      <c r="BK10" s="30">
        <v>301.0</v>
      </c>
      <c r="BL10" s="30">
        <v>278.0</v>
      </c>
      <c r="BM10" s="30">
        <v>359.0</v>
      </c>
      <c r="BN10" s="30">
        <v>1585.0</v>
      </c>
      <c r="BO10" s="30">
        <v>3.0</v>
      </c>
      <c r="BP10" s="31">
        <v>2180.0</v>
      </c>
      <c r="BQ10" s="24">
        <f t="shared" si="13"/>
        <v>5556</v>
      </c>
      <c r="BR10" s="30">
        <v>290.0</v>
      </c>
      <c r="BS10" s="30">
        <v>84.0</v>
      </c>
      <c r="BT10" s="31">
        <v>13114.0</v>
      </c>
      <c r="BU10" s="24">
        <f t="shared" si="14"/>
        <v>13488</v>
      </c>
    </row>
    <row r="11" ht="21.0" customHeight="1">
      <c r="A11" s="24" t="s">
        <v>78</v>
      </c>
      <c r="B11" s="33">
        <v>8139.0</v>
      </c>
      <c r="C11" s="30">
        <v>151.0</v>
      </c>
      <c r="D11" s="31">
        <v>69.0</v>
      </c>
      <c r="E11" s="28">
        <f t="shared" si="1"/>
        <v>8359</v>
      </c>
      <c r="F11" s="30">
        <v>1106.0</v>
      </c>
      <c r="G11" s="30">
        <v>1464.0</v>
      </c>
      <c r="H11" s="30">
        <v>991.0</v>
      </c>
      <c r="I11" s="30">
        <v>1007.0</v>
      </c>
      <c r="J11" s="30">
        <v>1182.0</v>
      </c>
      <c r="K11" s="30">
        <v>1268.0</v>
      </c>
      <c r="L11" s="31">
        <v>1341.0</v>
      </c>
      <c r="M11" s="24">
        <f t="shared" si="2"/>
        <v>8359</v>
      </c>
      <c r="N11" s="30">
        <v>4720.0</v>
      </c>
      <c r="O11" s="31">
        <v>3639.0</v>
      </c>
      <c r="P11" s="24">
        <f t="shared" si="3"/>
        <v>8359</v>
      </c>
      <c r="Q11" s="30">
        <v>5513.0</v>
      </c>
      <c r="R11" s="31">
        <v>2846.0</v>
      </c>
      <c r="S11" s="24">
        <f t="shared" si="4"/>
        <v>8359</v>
      </c>
      <c r="T11" s="30">
        <v>10993.0</v>
      </c>
      <c r="U11" s="30">
        <v>1619.0</v>
      </c>
      <c r="V11" s="30">
        <v>384.0</v>
      </c>
      <c r="W11" s="30">
        <v>1436.0</v>
      </c>
      <c r="X11" s="30">
        <v>1311.0</v>
      </c>
      <c r="Y11" s="30">
        <v>142.0</v>
      </c>
      <c r="Z11" s="31">
        <v>514.0</v>
      </c>
      <c r="AA11" s="24">
        <f t="shared" si="5"/>
        <v>16399</v>
      </c>
      <c r="AB11" s="30">
        <v>1262.0</v>
      </c>
      <c r="AC11" s="30">
        <v>6521.0</v>
      </c>
      <c r="AD11" s="30">
        <v>6072.0</v>
      </c>
      <c r="AE11" s="30">
        <v>2093.0</v>
      </c>
      <c r="AF11" s="30">
        <v>451.0</v>
      </c>
      <c r="AG11" s="24">
        <f t="shared" si="6"/>
        <v>16399</v>
      </c>
      <c r="AH11" s="30">
        <v>11892.0</v>
      </c>
      <c r="AI11" s="30">
        <v>4507.0</v>
      </c>
      <c r="AJ11" s="24">
        <f t="shared" si="7"/>
        <v>16399</v>
      </c>
      <c r="AK11" s="30">
        <v>10486.0</v>
      </c>
      <c r="AL11" s="30">
        <v>5913.0</v>
      </c>
      <c r="AM11" s="24">
        <f t="shared" si="8"/>
        <v>16399</v>
      </c>
      <c r="AN11" s="30">
        <v>16285.0</v>
      </c>
      <c r="AO11" s="31">
        <v>114.0</v>
      </c>
      <c r="AP11" s="24">
        <f t="shared" si="9"/>
        <v>16399</v>
      </c>
      <c r="AQ11" s="30">
        <v>11367.0</v>
      </c>
      <c r="AR11" s="30">
        <v>2715.0</v>
      </c>
      <c r="AS11" s="30">
        <v>783.0</v>
      </c>
      <c r="AT11" s="30">
        <v>184.0</v>
      </c>
      <c r="AU11" s="31">
        <v>1350.0</v>
      </c>
      <c r="AV11" s="24">
        <f t="shared" si="15"/>
        <v>16399</v>
      </c>
      <c r="AW11" s="29">
        <f t="shared" si="10"/>
        <v>1350</v>
      </c>
      <c r="AX11" s="30">
        <v>14336.0</v>
      </c>
      <c r="AY11" s="31">
        <v>713.0</v>
      </c>
      <c r="AZ11" s="24">
        <f t="shared" si="11"/>
        <v>16399</v>
      </c>
      <c r="BA11" s="30">
        <v>6722.0</v>
      </c>
      <c r="BB11" s="30">
        <v>612.0</v>
      </c>
      <c r="BC11" s="30">
        <v>92.0</v>
      </c>
      <c r="BD11" s="30">
        <v>0.0</v>
      </c>
      <c r="BE11" s="30">
        <v>10.0</v>
      </c>
      <c r="BF11" s="30">
        <v>345.0</v>
      </c>
      <c r="BG11" s="30">
        <v>232.0</v>
      </c>
      <c r="BH11" s="31">
        <v>346.0</v>
      </c>
      <c r="BI11" s="24">
        <f t="shared" si="12"/>
        <v>8359</v>
      </c>
      <c r="BJ11" s="30">
        <v>1414.0</v>
      </c>
      <c r="BK11" s="30">
        <v>425.0</v>
      </c>
      <c r="BL11" s="30">
        <v>477.0</v>
      </c>
      <c r="BM11" s="30">
        <v>195.0</v>
      </c>
      <c r="BN11" s="30">
        <v>1565.0</v>
      </c>
      <c r="BO11" s="30">
        <v>2.0</v>
      </c>
      <c r="BP11" s="31">
        <v>4281.0</v>
      </c>
      <c r="BQ11" s="24">
        <f t="shared" si="13"/>
        <v>8359</v>
      </c>
      <c r="BR11" s="30">
        <v>335.0</v>
      </c>
      <c r="BS11" s="30">
        <v>88.0</v>
      </c>
      <c r="BT11" s="31">
        <v>17927.0</v>
      </c>
      <c r="BU11" s="24">
        <f t="shared" si="14"/>
        <v>18350</v>
      </c>
    </row>
    <row r="12" ht="21.0" customHeight="1">
      <c r="A12" s="24" t="s">
        <v>79</v>
      </c>
      <c r="B12" s="33">
        <v>7609.0</v>
      </c>
      <c r="C12" s="30">
        <v>219.0</v>
      </c>
      <c r="D12" s="31">
        <v>68.0</v>
      </c>
      <c r="E12" s="28">
        <f t="shared" si="1"/>
        <v>7896</v>
      </c>
      <c r="F12" s="30">
        <v>1254.0</v>
      </c>
      <c r="G12" s="30">
        <v>1085.0</v>
      </c>
      <c r="H12" s="30">
        <v>1006.0</v>
      </c>
      <c r="I12" s="30">
        <v>1098.0</v>
      </c>
      <c r="J12" s="30">
        <v>1045.0</v>
      </c>
      <c r="K12" s="30">
        <v>1246.0</v>
      </c>
      <c r="L12" s="31">
        <v>1162.0</v>
      </c>
      <c r="M12" s="24">
        <f t="shared" si="2"/>
        <v>7896</v>
      </c>
      <c r="N12" s="30">
        <v>4160.0</v>
      </c>
      <c r="O12" s="31">
        <v>3736.0</v>
      </c>
      <c r="P12" s="24">
        <f t="shared" si="3"/>
        <v>7896</v>
      </c>
      <c r="Q12" s="30">
        <v>5934.0</v>
      </c>
      <c r="R12" s="31">
        <v>1962.0</v>
      </c>
      <c r="S12" s="24">
        <f t="shared" si="4"/>
        <v>7896</v>
      </c>
      <c r="T12" s="30">
        <v>9834.0</v>
      </c>
      <c r="U12" s="30">
        <v>1704.0</v>
      </c>
      <c r="V12" s="30">
        <v>628.0</v>
      </c>
      <c r="W12" s="30">
        <v>2501.0</v>
      </c>
      <c r="X12" s="30">
        <v>1345.0</v>
      </c>
      <c r="Y12" s="30">
        <v>44.0</v>
      </c>
      <c r="Z12" s="31">
        <v>314.0</v>
      </c>
      <c r="AA12" s="24">
        <f t="shared" si="5"/>
        <v>16370</v>
      </c>
      <c r="AB12" s="30">
        <v>2536.0</v>
      </c>
      <c r="AC12" s="30">
        <v>5600.0</v>
      </c>
      <c r="AD12" s="30">
        <v>5042.0</v>
      </c>
      <c r="AE12" s="30">
        <v>2180.0</v>
      </c>
      <c r="AF12" s="30">
        <v>1012.0</v>
      </c>
      <c r="AG12" s="24">
        <f t="shared" si="6"/>
        <v>16370</v>
      </c>
      <c r="AH12" s="30">
        <v>11534.0</v>
      </c>
      <c r="AI12" s="30">
        <v>4836.0</v>
      </c>
      <c r="AJ12" s="24">
        <f t="shared" si="7"/>
        <v>16370</v>
      </c>
      <c r="AK12" s="30">
        <v>9864.0</v>
      </c>
      <c r="AL12" s="30">
        <v>6506.0</v>
      </c>
      <c r="AM12" s="24">
        <f t="shared" si="8"/>
        <v>16370</v>
      </c>
      <c r="AN12" s="30">
        <v>16008.0</v>
      </c>
      <c r="AO12" s="31">
        <v>362.0</v>
      </c>
      <c r="AP12" s="24">
        <f t="shared" si="9"/>
        <v>16370</v>
      </c>
      <c r="AQ12" s="30">
        <v>10985.0</v>
      </c>
      <c r="AR12" s="30">
        <v>3259.0</v>
      </c>
      <c r="AS12" s="30">
        <v>848.0</v>
      </c>
      <c r="AT12" s="30">
        <v>185.0</v>
      </c>
      <c r="AU12" s="31">
        <v>1093.0</v>
      </c>
      <c r="AV12" s="24">
        <f t="shared" si="15"/>
        <v>16370</v>
      </c>
      <c r="AW12" s="29">
        <f t="shared" si="10"/>
        <v>1093</v>
      </c>
      <c r="AX12" s="30">
        <v>14924.0</v>
      </c>
      <c r="AY12" s="31">
        <v>353.0</v>
      </c>
      <c r="AZ12" s="24">
        <f t="shared" si="11"/>
        <v>16370</v>
      </c>
      <c r="BA12" s="30">
        <v>6958.0</v>
      </c>
      <c r="BB12" s="30">
        <v>0.0</v>
      </c>
      <c r="BC12" s="30">
        <v>73.0</v>
      </c>
      <c r="BD12" s="30">
        <v>21.0</v>
      </c>
      <c r="BE12" s="30">
        <v>17.0</v>
      </c>
      <c r="BF12" s="30">
        <v>191.0</v>
      </c>
      <c r="BG12" s="30">
        <v>456.0</v>
      </c>
      <c r="BH12" s="31">
        <v>180.0</v>
      </c>
      <c r="BI12" s="24">
        <f t="shared" si="12"/>
        <v>7896</v>
      </c>
      <c r="BJ12" s="30">
        <v>682.0</v>
      </c>
      <c r="BK12" s="30">
        <v>689.0</v>
      </c>
      <c r="BL12" s="30">
        <v>501.0</v>
      </c>
      <c r="BM12" s="30">
        <v>169.0</v>
      </c>
      <c r="BN12" s="30">
        <v>1869.0</v>
      </c>
      <c r="BO12" s="30">
        <v>2.0</v>
      </c>
      <c r="BP12" s="31">
        <v>3984.0</v>
      </c>
      <c r="BQ12" s="24">
        <f t="shared" si="13"/>
        <v>7896</v>
      </c>
      <c r="BR12" s="30">
        <v>374.0</v>
      </c>
      <c r="BS12" s="30">
        <v>70.0</v>
      </c>
      <c r="BT12" s="31">
        <v>1691.0</v>
      </c>
      <c r="BU12" s="24">
        <f t="shared" si="14"/>
        <v>2135</v>
      </c>
    </row>
    <row r="13" ht="21.0" customHeight="1">
      <c r="A13" s="24" t="s">
        <v>80</v>
      </c>
      <c r="B13" s="35">
        <v>7704.0</v>
      </c>
      <c r="C13" s="36">
        <v>219.0</v>
      </c>
      <c r="D13" s="37">
        <v>70.0</v>
      </c>
      <c r="E13" s="28">
        <f t="shared" si="1"/>
        <v>7993</v>
      </c>
      <c r="F13" s="36">
        <v>1269.0</v>
      </c>
      <c r="G13" s="36">
        <v>1108.0</v>
      </c>
      <c r="H13" s="36">
        <v>1046.0</v>
      </c>
      <c r="I13" s="36">
        <v>1127.0</v>
      </c>
      <c r="J13" s="36">
        <v>1012.0</v>
      </c>
      <c r="K13" s="36">
        <v>1276.0</v>
      </c>
      <c r="L13" s="37">
        <v>1155.0</v>
      </c>
      <c r="M13" s="24">
        <f t="shared" si="2"/>
        <v>7993</v>
      </c>
      <c r="N13" s="36">
        <v>4316.0</v>
      </c>
      <c r="O13" s="37">
        <v>3677.0</v>
      </c>
      <c r="P13" s="24">
        <f t="shared" si="3"/>
        <v>7993</v>
      </c>
      <c r="Q13" s="30">
        <v>5978.0</v>
      </c>
      <c r="R13" s="31">
        <v>2015.0</v>
      </c>
      <c r="S13" s="24">
        <f t="shared" si="4"/>
        <v>7993</v>
      </c>
      <c r="T13" s="30">
        <v>10248.0</v>
      </c>
      <c r="U13" s="30">
        <v>1794.0</v>
      </c>
      <c r="V13" s="30">
        <v>635.0</v>
      </c>
      <c r="W13" s="30">
        <v>2562.0</v>
      </c>
      <c r="X13" s="30">
        <v>1340.0</v>
      </c>
      <c r="Y13" s="30">
        <v>34.0</v>
      </c>
      <c r="Z13" s="31">
        <v>356.0</v>
      </c>
      <c r="AA13" s="24">
        <f t="shared" si="5"/>
        <v>16969</v>
      </c>
      <c r="AB13" s="30">
        <v>2508.0</v>
      </c>
      <c r="AC13" s="30">
        <v>5723.0</v>
      </c>
      <c r="AD13" s="30">
        <v>5229.0</v>
      </c>
      <c r="AE13" s="30">
        <v>2308.0</v>
      </c>
      <c r="AF13" s="30">
        <v>1201.0</v>
      </c>
      <c r="AG13" s="24">
        <f t="shared" si="6"/>
        <v>16969</v>
      </c>
      <c r="AH13" s="30">
        <v>12215.0</v>
      </c>
      <c r="AI13" s="30">
        <v>4754.0</v>
      </c>
      <c r="AJ13" s="24">
        <f t="shared" si="7"/>
        <v>16969</v>
      </c>
      <c r="AK13" s="30">
        <v>9974.0</v>
      </c>
      <c r="AL13" s="30">
        <v>6995.0</v>
      </c>
      <c r="AM13" s="24">
        <f t="shared" si="8"/>
        <v>16969</v>
      </c>
      <c r="AN13" s="30">
        <v>16571.0</v>
      </c>
      <c r="AO13" s="31">
        <v>398.0</v>
      </c>
      <c r="AP13" s="24">
        <f t="shared" si="9"/>
        <v>16969</v>
      </c>
      <c r="AQ13" s="30">
        <v>11866.0</v>
      </c>
      <c r="AR13" s="30">
        <v>3345.0</v>
      </c>
      <c r="AS13" s="30">
        <v>777.0</v>
      </c>
      <c r="AT13" s="30">
        <v>176.0</v>
      </c>
      <c r="AU13" s="31">
        <v>805.0</v>
      </c>
      <c r="AV13" s="24">
        <f t="shared" si="15"/>
        <v>16969</v>
      </c>
      <c r="AW13" s="29">
        <f t="shared" si="10"/>
        <v>805</v>
      </c>
      <c r="AX13" s="30">
        <v>15704.0</v>
      </c>
      <c r="AY13" s="31">
        <v>460.0</v>
      </c>
      <c r="AZ13" s="24">
        <f t="shared" si="11"/>
        <v>16969</v>
      </c>
      <c r="BA13" s="30">
        <v>7107.0</v>
      </c>
      <c r="BB13" s="30">
        <v>0.0</v>
      </c>
      <c r="BC13" s="30">
        <v>69.0</v>
      </c>
      <c r="BD13" s="30">
        <v>0.0</v>
      </c>
      <c r="BE13" s="30">
        <v>19.0</v>
      </c>
      <c r="BF13" s="30">
        <v>208.0</v>
      </c>
      <c r="BG13" s="30">
        <v>339.0</v>
      </c>
      <c r="BH13" s="31">
        <v>251.0</v>
      </c>
      <c r="BI13" s="24">
        <f t="shared" si="12"/>
        <v>7993</v>
      </c>
      <c r="BJ13" s="36">
        <v>714.0</v>
      </c>
      <c r="BK13" s="36">
        <v>702.0</v>
      </c>
      <c r="BL13" s="36">
        <v>490.0</v>
      </c>
      <c r="BM13" s="36">
        <v>174.0</v>
      </c>
      <c r="BN13" s="36">
        <v>1885.0</v>
      </c>
      <c r="BO13" s="36">
        <v>3.0</v>
      </c>
      <c r="BP13" s="37">
        <v>4025.0</v>
      </c>
      <c r="BQ13" s="38">
        <f t="shared" si="13"/>
        <v>7993</v>
      </c>
      <c r="BR13" s="36">
        <v>398.0</v>
      </c>
      <c r="BS13" s="36">
        <v>93.0</v>
      </c>
      <c r="BT13" s="37">
        <v>1691.0</v>
      </c>
      <c r="BU13" s="38">
        <f t="shared" si="14"/>
        <v>2182</v>
      </c>
    </row>
    <row r="14" ht="21.0" customHeight="1">
      <c r="A14" s="24" t="s">
        <v>47</v>
      </c>
      <c r="B14" s="40">
        <f t="shared" ref="B14:L14" si="16">SUM(B2:B13)</f>
        <v>97996</v>
      </c>
      <c r="C14" s="41">
        <f t="shared" si="16"/>
        <v>2708</v>
      </c>
      <c r="D14" s="41">
        <f t="shared" si="16"/>
        <v>915</v>
      </c>
      <c r="E14" s="42">
        <f t="shared" si="16"/>
        <v>101619</v>
      </c>
      <c r="F14" s="41">
        <f t="shared" si="16"/>
        <v>15066</v>
      </c>
      <c r="G14" s="41">
        <f t="shared" si="16"/>
        <v>14936</v>
      </c>
      <c r="H14" s="41">
        <f t="shared" si="16"/>
        <v>13287</v>
      </c>
      <c r="I14" s="41">
        <f t="shared" si="16"/>
        <v>14040</v>
      </c>
      <c r="J14" s="41">
        <f t="shared" si="16"/>
        <v>13355</v>
      </c>
      <c r="K14" s="41">
        <f t="shared" si="16"/>
        <v>15509</v>
      </c>
      <c r="L14" s="41">
        <f t="shared" si="16"/>
        <v>15426</v>
      </c>
      <c r="M14" s="24">
        <f t="shared" si="2"/>
        <v>101619</v>
      </c>
      <c r="N14" s="41">
        <f t="shared" ref="N14:BT14" si="17">SUM(N2:N13)</f>
        <v>59056</v>
      </c>
      <c r="O14" s="41">
        <f t="shared" si="17"/>
        <v>42563</v>
      </c>
      <c r="P14" s="24">
        <f t="shared" si="17"/>
        <v>101619</v>
      </c>
      <c r="Q14" s="41">
        <f t="shared" si="17"/>
        <v>72821</v>
      </c>
      <c r="R14" s="43">
        <f t="shared" si="17"/>
        <v>28798</v>
      </c>
      <c r="S14" s="24">
        <f t="shared" si="17"/>
        <v>101619</v>
      </c>
      <c r="T14" s="41">
        <f t="shared" si="17"/>
        <v>120981</v>
      </c>
      <c r="U14" s="41">
        <f t="shared" si="17"/>
        <v>19455</v>
      </c>
      <c r="V14" s="41">
        <f t="shared" si="17"/>
        <v>4980</v>
      </c>
      <c r="W14" s="41">
        <f t="shared" si="17"/>
        <v>20048</v>
      </c>
      <c r="X14" s="41">
        <f t="shared" si="17"/>
        <v>19210</v>
      </c>
      <c r="Y14" s="41">
        <f t="shared" si="17"/>
        <v>2215</v>
      </c>
      <c r="Z14" s="41">
        <f t="shared" si="17"/>
        <v>6683</v>
      </c>
      <c r="AA14" s="24">
        <f t="shared" si="17"/>
        <v>193572</v>
      </c>
      <c r="AB14" s="24">
        <f t="shared" si="17"/>
        <v>22114</v>
      </c>
      <c r="AC14" s="41">
        <f t="shared" si="17"/>
        <v>71136</v>
      </c>
      <c r="AD14" s="41">
        <f t="shared" si="17"/>
        <v>60893</v>
      </c>
      <c r="AE14" s="41">
        <f t="shared" si="17"/>
        <v>25748</v>
      </c>
      <c r="AF14" s="41">
        <f t="shared" si="17"/>
        <v>12241</v>
      </c>
      <c r="AG14" s="24">
        <f t="shared" si="17"/>
        <v>192132</v>
      </c>
      <c r="AH14" s="41">
        <f t="shared" si="17"/>
        <v>128294</v>
      </c>
      <c r="AI14" s="41">
        <f t="shared" si="17"/>
        <v>63838</v>
      </c>
      <c r="AJ14" s="24">
        <f t="shared" si="17"/>
        <v>192132</v>
      </c>
      <c r="AK14" s="41">
        <f t="shared" si="17"/>
        <v>112436</v>
      </c>
      <c r="AL14" s="41">
        <f t="shared" si="17"/>
        <v>79696</v>
      </c>
      <c r="AM14" s="24">
        <f t="shared" si="17"/>
        <v>192132</v>
      </c>
      <c r="AN14" s="41">
        <f t="shared" si="17"/>
        <v>187747</v>
      </c>
      <c r="AO14" s="43">
        <f t="shared" si="17"/>
        <v>4385</v>
      </c>
      <c r="AP14" s="24">
        <f t="shared" si="17"/>
        <v>192132</v>
      </c>
      <c r="AQ14" s="41">
        <f t="shared" si="17"/>
        <v>137807</v>
      </c>
      <c r="AR14" s="41">
        <f t="shared" si="17"/>
        <v>37787</v>
      </c>
      <c r="AS14" s="41">
        <f t="shared" si="17"/>
        <v>3040</v>
      </c>
      <c r="AT14" s="41">
        <f t="shared" si="17"/>
        <v>962</v>
      </c>
      <c r="AU14" s="43">
        <f t="shared" si="17"/>
        <v>12536</v>
      </c>
      <c r="AV14" s="24">
        <f t="shared" si="17"/>
        <v>192132</v>
      </c>
      <c r="AW14" s="40">
        <f t="shared" si="17"/>
        <v>12536</v>
      </c>
      <c r="AX14" s="41">
        <f t="shared" si="17"/>
        <v>159880</v>
      </c>
      <c r="AY14" s="43">
        <f t="shared" si="17"/>
        <v>19716</v>
      </c>
      <c r="AZ14" s="24">
        <f t="shared" si="17"/>
        <v>192132</v>
      </c>
      <c r="BA14" s="44">
        <f t="shared" si="17"/>
        <v>82469</v>
      </c>
      <c r="BB14" s="44">
        <f t="shared" si="17"/>
        <v>4796</v>
      </c>
      <c r="BC14" s="44">
        <f t="shared" si="17"/>
        <v>936</v>
      </c>
      <c r="BD14" s="44">
        <f t="shared" si="17"/>
        <v>92</v>
      </c>
      <c r="BE14" s="44">
        <f t="shared" si="17"/>
        <v>129</v>
      </c>
      <c r="BF14" s="44">
        <f t="shared" si="17"/>
        <v>3632</v>
      </c>
      <c r="BG14" s="44">
        <f t="shared" si="17"/>
        <v>3790</v>
      </c>
      <c r="BH14" s="44">
        <f t="shared" si="17"/>
        <v>5775</v>
      </c>
      <c r="BI14" s="24">
        <f t="shared" si="17"/>
        <v>101619</v>
      </c>
      <c r="BJ14" s="24">
        <f t="shared" si="17"/>
        <v>12951</v>
      </c>
      <c r="BK14" s="24">
        <f t="shared" si="17"/>
        <v>5960</v>
      </c>
      <c r="BL14" s="24">
        <f t="shared" si="17"/>
        <v>6300</v>
      </c>
      <c r="BM14" s="24">
        <f t="shared" si="17"/>
        <v>6841</v>
      </c>
      <c r="BN14" s="24">
        <f t="shared" si="17"/>
        <v>22026</v>
      </c>
      <c r="BO14" s="24">
        <f t="shared" si="17"/>
        <v>92</v>
      </c>
      <c r="BP14" s="24">
        <f t="shared" si="17"/>
        <v>47449</v>
      </c>
      <c r="BQ14" s="24">
        <f t="shared" si="17"/>
        <v>101619</v>
      </c>
      <c r="BR14" s="42">
        <f t="shared" si="17"/>
        <v>4893</v>
      </c>
      <c r="BS14" s="24">
        <f t="shared" si="17"/>
        <v>1113</v>
      </c>
      <c r="BT14" s="24">
        <f t="shared" si="17"/>
        <v>158251</v>
      </c>
      <c r="BU14" s="24">
        <f t="shared" si="14"/>
        <v>164257</v>
      </c>
    </row>
    <row r="15" ht="12.75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3" width="8.0"/>
  </cols>
  <sheetData>
    <row r="1" ht="124.5" customHeight="1">
      <c r="A1" s="2" t="s">
        <v>1</v>
      </c>
      <c r="B1" s="3" t="s">
        <v>2</v>
      </c>
      <c r="C1" s="3" t="s">
        <v>3</v>
      </c>
      <c r="D1" s="4" t="s">
        <v>4</v>
      </c>
      <c r="E1" s="5" t="s">
        <v>5</v>
      </c>
      <c r="F1" s="2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6" t="s">
        <v>13</v>
      </c>
      <c r="N1" s="2" t="s">
        <v>14</v>
      </c>
      <c r="O1" s="3" t="s">
        <v>15</v>
      </c>
      <c r="P1" s="6" t="s">
        <v>16</v>
      </c>
      <c r="Q1" s="2" t="s">
        <v>17</v>
      </c>
      <c r="R1" s="3" t="s">
        <v>18</v>
      </c>
      <c r="S1" s="6" t="s">
        <v>19</v>
      </c>
      <c r="T1" s="2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6" t="s">
        <v>27</v>
      </c>
      <c r="AB1" s="2">
        <v>-18.0</v>
      </c>
      <c r="AC1" s="3" t="s">
        <v>28</v>
      </c>
      <c r="AD1" s="3" t="s">
        <v>29</v>
      </c>
      <c r="AE1" s="3" t="s">
        <v>30</v>
      </c>
      <c r="AF1" s="3" t="s">
        <v>31</v>
      </c>
      <c r="AG1" s="6" t="s">
        <v>32</v>
      </c>
      <c r="AH1" s="2" t="s">
        <v>33</v>
      </c>
      <c r="AI1" s="3" t="s">
        <v>34</v>
      </c>
      <c r="AJ1" s="6" t="s">
        <v>35</v>
      </c>
      <c r="AK1" s="2" t="s">
        <v>36</v>
      </c>
      <c r="AL1" s="3" t="s">
        <v>37</v>
      </c>
      <c r="AM1" s="6" t="s">
        <v>38</v>
      </c>
      <c r="AN1" s="2" t="s">
        <v>39</v>
      </c>
      <c r="AO1" s="3" t="s">
        <v>40</v>
      </c>
      <c r="AP1" s="6" t="s">
        <v>41</v>
      </c>
      <c r="AQ1" s="2" t="s">
        <v>42</v>
      </c>
      <c r="AR1" s="3" t="s">
        <v>43</v>
      </c>
      <c r="AS1" s="3" t="s">
        <v>44</v>
      </c>
      <c r="AT1" s="3" t="s">
        <v>45</v>
      </c>
      <c r="AU1" s="7" t="s">
        <v>46</v>
      </c>
      <c r="AV1" s="8" t="s">
        <v>47</v>
      </c>
      <c r="AW1" s="9" t="s">
        <v>46</v>
      </c>
      <c r="AX1" s="3" t="s">
        <v>48</v>
      </c>
      <c r="AY1" s="3" t="s">
        <v>49</v>
      </c>
      <c r="AZ1" s="10" t="s">
        <v>47</v>
      </c>
      <c r="BA1" s="11" t="s">
        <v>50</v>
      </c>
      <c r="BB1" s="12" t="s">
        <v>51</v>
      </c>
      <c r="BC1" s="12" t="s">
        <v>52</v>
      </c>
      <c r="BD1" s="12" t="s">
        <v>53</v>
      </c>
      <c r="BE1" s="13" t="s">
        <v>54</v>
      </c>
      <c r="BF1" s="14" t="s">
        <v>55</v>
      </c>
      <c r="BG1" s="14" t="s">
        <v>56</v>
      </c>
      <c r="BH1" s="15" t="s">
        <v>57</v>
      </c>
      <c r="BI1" s="16" t="s">
        <v>47</v>
      </c>
      <c r="BJ1" s="16" t="s">
        <v>58</v>
      </c>
      <c r="BK1" s="17" t="s">
        <v>59</v>
      </c>
      <c r="BL1" s="18" t="s">
        <v>60</v>
      </c>
      <c r="BM1" s="18" t="s">
        <v>61</v>
      </c>
      <c r="BN1" s="18" t="s">
        <v>62</v>
      </c>
      <c r="BO1" s="18" t="s">
        <v>63</v>
      </c>
      <c r="BP1" s="18" t="s">
        <v>26</v>
      </c>
      <c r="BQ1" s="19" t="s">
        <v>64</v>
      </c>
      <c r="BR1" s="20" t="s">
        <v>65</v>
      </c>
      <c r="BS1" s="21" t="s">
        <v>66</v>
      </c>
      <c r="BT1" s="18" t="s">
        <v>67</v>
      </c>
      <c r="BU1" s="22" t="s">
        <v>68</v>
      </c>
    </row>
    <row r="2" ht="21.0" customHeight="1">
      <c r="A2" s="24" t="s">
        <v>69</v>
      </c>
      <c r="B2" s="25">
        <v>1035.0</v>
      </c>
      <c r="C2" s="26">
        <v>28.0</v>
      </c>
      <c r="D2" s="27">
        <v>14.0</v>
      </c>
      <c r="E2" s="28">
        <f t="shared" ref="E2:E13" si="1">SUM(B2:D2)</f>
        <v>1077</v>
      </c>
      <c r="F2" s="26">
        <v>145.0</v>
      </c>
      <c r="G2" s="26">
        <v>148.0</v>
      </c>
      <c r="H2" s="26">
        <v>149.0</v>
      </c>
      <c r="I2" s="26">
        <v>171.0</v>
      </c>
      <c r="J2" s="26">
        <v>159.0</v>
      </c>
      <c r="K2" s="26">
        <v>162.0</v>
      </c>
      <c r="L2" s="27">
        <v>143.0</v>
      </c>
      <c r="M2" s="24">
        <f t="shared" ref="M2:M13" si="2">F2+G2+H2+I2+J2+K2+L2</f>
        <v>1077</v>
      </c>
      <c r="N2" s="26">
        <v>683.0</v>
      </c>
      <c r="O2" s="27">
        <v>394.0</v>
      </c>
      <c r="P2" s="24">
        <f t="shared" ref="P2:P13" si="3">SUM(N2:O2)</f>
        <v>1077</v>
      </c>
      <c r="Q2" s="26">
        <v>987.0</v>
      </c>
      <c r="R2" s="27">
        <v>90.0</v>
      </c>
      <c r="S2" s="24">
        <f t="shared" ref="S2:S13" si="4">SUM(Q2:R2)</f>
        <v>1077</v>
      </c>
      <c r="T2" s="26">
        <v>1089.0</v>
      </c>
      <c r="U2" s="26">
        <v>196.0</v>
      </c>
      <c r="V2" s="26">
        <v>26.0</v>
      </c>
      <c r="W2" s="26">
        <v>533.0</v>
      </c>
      <c r="X2" s="26">
        <v>48.0</v>
      </c>
      <c r="Y2" s="26">
        <v>31.0</v>
      </c>
      <c r="Z2" s="27">
        <v>35.0</v>
      </c>
      <c r="AA2" s="24">
        <f t="shared" ref="AA2:AA14" si="5">SUM(T2:Z2)</f>
        <v>1958</v>
      </c>
      <c r="AB2" s="26">
        <v>363.0</v>
      </c>
      <c r="AC2" s="26">
        <v>702.0</v>
      </c>
      <c r="AD2" s="26">
        <v>519.0</v>
      </c>
      <c r="AE2" s="26">
        <v>346.0</v>
      </c>
      <c r="AF2" s="26">
        <v>28.0</v>
      </c>
      <c r="AG2" s="24">
        <f t="shared" ref="AG2:AG13" si="6">SUM(AB2:AF2)</f>
        <v>1958</v>
      </c>
      <c r="AH2" s="26">
        <v>1345.0</v>
      </c>
      <c r="AI2" s="26">
        <v>613.0</v>
      </c>
      <c r="AJ2" s="24">
        <f t="shared" ref="AJ2:AJ13" si="7">SUM(AH2:AI2)</f>
        <v>1958</v>
      </c>
      <c r="AK2" s="26">
        <v>1195.0</v>
      </c>
      <c r="AL2" s="26">
        <v>763.0</v>
      </c>
      <c r="AM2" s="24">
        <f t="shared" ref="AM2:AM13" si="8">SUM(AK2:AL2)</f>
        <v>1958</v>
      </c>
      <c r="AN2" s="26">
        <v>1936.0</v>
      </c>
      <c r="AO2" s="27">
        <v>22.0</v>
      </c>
      <c r="AP2" s="24">
        <f t="shared" ref="AP2:AP13" si="9">SUM(AN2:AO2)</f>
        <v>1958</v>
      </c>
      <c r="AQ2" s="26">
        <v>1491.0</v>
      </c>
      <c r="AR2" s="26">
        <v>203.0</v>
      </c>
      <c r="AS2" s="26">
        <v>5.0</v>
      </c>
      <c r="AT2" s="26">
        <v>0.0</v>
      </c>
      <c r="AU2" s="27">
        <v>259.0</v>
      </c>
      <c r="AV2" s="24">
        <f>+AQ2+AR2+AS2+AT2+AU2</f>
        <v>1958</v>
      </c>
      <c r="AW2" s="29">
        <f t="shared" ref="AW2:AW13" si="10">AU2</f>
        <v>259</v>
      </c>
      <c r="AX2" s="26">
        <v>1616.0</v>
      </c>
      <c r="AY2" s="27">
        <v>83.0</v>
      </c>
      <c r="AZ2" s="24">
        <f t="shared" ref="AZ2:AZ13" si="11">SUM(AW2:AY2)</f>
        <v>1958</v>
      </c>
      <c r="BA2" s="30">
        <v>866.0</v>
      </c>
      <c r="BB2" s="30">
        <v>83.0</v>
      </c>
      <c r="BC2" s="30">
        <v>14.0</v>
      </c>
      <c r="BD2" s="30">
        <v>11.0</v>
      </c>
      <c r="BE2" s="30">
        <v>2.0</v>
      </c>
      <c r="BF2" s="30">
        <v>34.0</v>
      </c>
      <c r="BG2" s="30">
        <v>51.0</v>
      </c>
      <c r="BH2" s="31">
        <v>16.0</v>
      </c>
      <c r="BI2" s="24">
        <f t="shared" ref="BI2:BI13" si="12">SUM(BA2:BH2)</f>
        <v>1077</v>
      </c>
      <c r="BJ2" s="30">
        <v>63.0</v>
      </c>
      <c r="BK2" s="30">
        <v>35.0</v>
      </c>
      <c r="BL2" s="30">
        <v>117.0</v>
      </c>
      <c r="BM2" s="30">
        <v>10.0</v>
      </c>
      <c r="BN2" s="30">
        <v>268.0</v>
      </c>
      <c r="BO2" s="30">
        <v>0.0</v>
      </c>
      <c r="BP2" s="31">
        <v>584.0</v>
      </c>
      <c r="BQ2" s="24">
        <f t="shared" ref="BQ2:BQ13" si="13">SUM(BJ2:BP2)</f>
        <v>1077</v>
      </c>
      <c r="BR2" s="32">
        <v>52.0</v>
      </c>
      <c r="BS2" s="30">
        <v>14.0</v>
      </c>
      <c r="BT2" s="31">
        <v>2011.0</v>
      </c>
      <c r="BU2" s="24">
        <f t="shared" ref="BU2:BU13" si="14">SUM(BR2:BT2)</f>
        <v>2077</v>
      </c>
    </row>
    <row r="3" ht="21.0" customHeight="1">
      <c r="A3" s="24" t="s">
        <v>70</v>
      </c>
      <c r="B3" s="33">
        <v>1040.0</v>
      </c>
      <c r="C3" s="30">
        <v>30.0</v>
      </c>
      <c r="D3" s="31">
        <v>12.0</v>
      </c>
      <c r="E3" s="28">
        <f t="shared" si="1"/>
        <v>1082</v>
      </c>
      <c r="F3" s="30">
        <v>158.0</v>
      </c>
      <c r="G3" s="30">
        <v>149.0</v>
      </c>
      <c r="H3" s="30">
        <v>144.0</v>
      </c>
      <c r="I3" s="30">
        <v>151.0</v>
      </c>
      <c r="J3" s="30">
        <v>176.0</v>
      </c>
      <c r="K3" s="30">
        <v>159.0</v>
      </c>
      <c r="L3" s="31">
        <v>145.0</v>
      </c>
      <c r="M3" s="24">
        <f t="shared" si="2"/>
        <v>1082</v>
      </c>
      <c r="N3" s="30">
        <v>616.0</v>
      </c>
      <c r="O3" s="31">
        <v>466.0</v>
      </c>
      <c r="P3" s="24">
        <f t="shared" si="3"/>
        <v>1082</v>
      </c>
      <c r="Q3" s="30">
        <v>983.0</v>
      </c>
      <c r="R3" s="31">
        <v>99.0</v>
      </c>
      <c r="S3" s="24">
        <f t="shared" si="4"/>
        <v>1082</v>
      </c>
      <c r="T3" s="30">
        <v>1010.0</v>
      </c>
      <c r="U3" s="30">
        <v>212.0</v>
      </c>
      <c r="V3" s="30">
        <v>16.0</v>
      </c>
      <c r="W3" s="30">
        <v>281.0</v>
      </c>
      <c r="X3" s="30">
        <v>35.0</v>
      </c>
      <c r="Y3" s="30">
        <v>12.0</v>
      </c>
      <c r="Z3" s="31">
        <v>45.0</v>
      </c>
      <c r="AA3" s="24">
        <f t="shared" si="5"/>
        <v>1611</v>
      </c>
      <c r="AB3" s="30">
        <v>130.0</v>
      </c>
      <c r="AC3" s="30">
        <v>1038.0</v>
      </c>
      <c r="AD3" s="30">
        <v>479.0</v>
      </c>
      <c r="AE3" s="30">
        <v>283.0</v>
      </c>
      <c r="AF3" s="30"/>
      <c r="AG3" s="24">
        <f t="shared" si="6"/>
        <v>1930</v>
      </c>
      <c r="AH3" s="30">
        <v>1000.0</v>
      </c>
      <c r="AI3" s="30">
        <v>930.0</v>
      </c>
      <c r="AJ3" s="24">
        <f t="shared" si="7"/>
        <v>1930</v>
      </c>
      <c r="AK3" s="30">
        <v>1298.0</v>
      </c>
      <c r="AL3" s="30">
        <v>632.0</v>
      </c>
      <c r="AM3" s="24">
        <f t="shared" si="8"/>
        <v>1930</v>
      </c>
      <c r="AN3" s="30">
        <v>1922.0</v>
      </c>
      <c r="AO3" s="31">
        <v>8.0</v>
      </c>
      <c r="AP3" s="24">
        <f t="shared" si="9"/>
        <v>1930</v>
      </c>
      <c r="AQ3" s="30">
        <v>1630.0</v>
      </c>
      <c r="AR3" s="30">
        <v>111.0</v>
      </c>
      <c r="AS3" s="30">
        <v>5.0</v>
      </c>
      <c r="AT3" s="30">
        <v>0.0</v>
      </c>
      <c r="AU3" s="31">
        <v>184.0</v>
      </c>
      <c r="AV3" s="24">
        <f>SUM(AQ3:AU3)</f>
        <v>1930</v>
      </c>
      <c r="AW3" s="29">
        <f t="shared" si="10"/>
        <v>184</v>
      </c>
      <c r="AX3" s="30">
        <v>1680.0</v>
      </c>
      <c r="AY3" s="31">
        <v>66.0</v>
      </c>
      <c r="AZ3" s="24">
        <f t="shared" si="11"/>
        <v>1930</v>
      </c>
      <c r="BA3" s="30">
        <v>1004.0</v>
      </c>
      <c r="BB3" s="30">
        <v>0.0</v>
      </c>
      <c r="BC3" s="30">
        <v>18.0</v>
      </c>
      <c r="BD3" s="30">
        <v>0.0</v>
      </c>
      <c r="BE3" s="30">
        <v>3.0</v>
      </c>
      <c r="BF3" s="30">
        <v>44.0</v>
      </c>
      <c r="BG3" s="30">
        <v>7.0</v>
      </c>
      <c r="BH3" s="31">
        <v>6.0</v>
      </c>
      <c r="BI3" s="24">
        <f t="shared" si="12"/>
        <v>1082</v>
      </c>
      <c r="BJ3" s="30">
        <v>55.0</v>
      </c>
      <c r="BK3" s="30">
        <v>29.0</v>
      </c>
      <c r="BL3" s="30">
        <v>113.0</v>
      </c>
      <c r="BM3" s="30">
        <v>48.0</v>
      </c>
      <c r="BN3" s="30">
        <v>388.0</v>
      </c>
      <c r="BO3" s="30">
        <v>0.0</v>
      </c>
      <c r="BP3" s="31">
        <v>449.0</v>
      </c>
      <c r="BQ3" s="24">
        <f t="shared" si="13"/>
        <v>1082</v>
      </c>
      <c r="BR3" s="32">
        <v>47.0</v>
      </c>
      <c r="BS3" s="30">
        <v>15.0</v>
      </c>
      <c r="BT3" s="31">
        <v>2015.0</v>
      </c>
      <c r="BU3" s="24">
        <f t="shared" si="14"/>
        <v>2077</v>
      </c>
    </row>
    <row r="4" ht="21.0" customHeight="1">
      <c r="A4" s="24" t="s">
        <v>71</v>
      </c>
      <c r="B4" s="33">
        <v>1246.0</v>
      </c>
      <c r="C4" s="30">
        <v>26.0</v>
      </c>
      <c r="D4" s="31">
        <v>10.0</v>
      </c>
      <c r="E4" s="28">
        <f t="shared" si="1"/>
        <v>1282</v>
      </c>
      <c r="F4" s="30">
        <v>183.0</v>
      </c>
      <c r="G4" s="30">
        <v>181.0</v>
      </c>
      <c r="H4" s="30">
        <v>176.0</v>
      </c>
      <c r="I4" s="30">
        <v>174.0</v>
      </c>
      <c r="J4" s="30">
        <v>179.0</v>
      </c>
      <c r="K4" s="30">
        <v>199.0</v>
      </c>
      <c r="L4" s="31">
        <v>190.0</v>
      </c>
      <c r="M4" s="24">
        <f t="shared" si="2"/>
        <v>1282</v>
      </c>
      <c r="N4" s="30">
        <v>755.0</v>
      </c>
      <c r="O4" s="31">
        <v>527.0</v>
      </c>
      <c r="P4" s="24">
        <f t="shared" si="3"/>
        <v>1282</v>
      </c>
      <c r="Q4" s="30">
        <v>1162.0</v>
      </c>
      <c r="R4" s="31">
        <v>120.0</v>
      </c>
      <c r="S4" s="24">
        <f t="shared" si="4"/>
        <v>1282</v>
      </c>
      <c r="T4" s="30">
        <v>1353.0</v>
      </c>
      <c r="U4" s="30">
        <v>304.0</v>
      </c>
      <c r="V4" s="30">
        <v>13.0</v>
      </c>
      <c r="W4" s="30">
        <v>469.0</v>
      </c>
      <c r="X4" s="30">
        <v>170.0</v>
      </c>
      <c r="Y4" s="30">
        <v>21.0</v>
      </c>
      <c r="Z4" s="31">
        <v>296.0</v>
      </c>
      <c r="AA4" s="24">
        <f t="shared" si="5"/>
        <v>2626</v>
      </c>
      <c r="AB4" s="30">
        <v>113.0</v>
      </c>
      <c r="AC4" s="30">
        <v>1023.0</v>
      </c>
      <c r="AD4" s="30">
        <v>804.0</v>
      </c>
      <c r="AE4" s="30">
        <v>321.0</v>
      </c>
      <c r="AF4" s="30"/>
      <c r="AG4" s="24">
        <f t="shared" si="6"/>
        <v>2261</v>
      </c>
      <c r="AH4" s="30">
        <v>1405.0</v>
      </c>
      <c r="AI4" s="30">
        <v>856.0</v>
      </c>
      <c r="AJ4" s="24">
        <f t="shared" si="7"/>
        <v>2261</v>
      </c>
      <c r="AK4" s="30">
        <v>1444.0</v>
      </c>
      <c r="AL4" s="30">
        <v>817.0</v>
      </c>
      <c r="AM4" s="24">
        <f t="shared" si="8"/>
        <v>2261</v>
      </c>
      <c r="AN4" s="30">
        <v>2261.0</v>
      </c>
      <c r="AO4" s="31">
        <v>0.0</v>
      </c>
      <c r="AP4" s="24">
        <f t="shared" si="9"/>
        <v>2261</v>
      </c>
      <c r="AQ4" s="30">
        <v>2036.0</v>
      </c>
      <c r="AR4" s="30">
        <v>119.0</v>
      </c>
      <c r="AS4" s="30">
        <v>15.0</v>
      </c>
      <c r="AT4" s="30">
        <v>0.0</v>
      </c>
      <c r="AU4" s="31">
        <v>91.0</v>
      </c>
      <c r="AV4" s="24">
        <f t="shared" ref="AV4:AV13" si="15">+AQ4+AR4+AS4+AT4+AU4</f>
        <v>2261</v>
      </c>
      <c r="AW4" s="29">
        <f t="shared" si="10"/>
        <v>91</v>
      </c>
      <c r="AX4" s="30">
        <v>2117.0</v>
      </c>
      <c r="AY4" s="31">
        <v>53.0</v>
      </c>
      <c r="AZ4" s="24">
        <f t="shared" si="11"/>
        <v>2261</v>
      </c>
      <c r="BA4" s="30">
        <v>1150.0</v>
      </c>
      <c r="BB4" s="30">
        <v>0.0</v>
      </c>
      <c r="BC4" s="30">
        <v>20.0</v>
      </c>
      <c r="BD4" s="30">
        <v>0.0</v>
      </c>
      <c r="BE4" s="30">
        <v>2.0</v>
      </c>
      <c r="BF4" s="30">
        <v>67.0</v>
      </c>
      <c r="BG4" s="30">
        <v>25.0</v>
      </c>
      <c r="BH4" s="31">
        <v>18.0</v>
      </c>
      <c r="BI4" s="24">
        <f t="shared" si="12"/>
        <v>1282</v>
      </c>
      <c r="BJ4" s="30">
        <v>24.0</v>
      </c>
      <c r="BK4" s="30">
        <v>22.0</v>
      </c>
      <c r="BL4" s="30">
        <v>21.0</v>
      </c>
      <c r="BM4" s="30">
        <v>8.0</v>
      </c>
      <c r="BN4" s="30">
        <v>255.0</v>
      </c>
      <c r="BO4" s="30">
        <v>0.0</v>
      </c>
      <c r="BP4" s="31">
        <v>952.0</v>
      </c>
      <c r="BQ4" s="24">
        <f t="shared" si="13"/>
        <v>1282</v>
      </c>
      <c r="BR4" s="32">
        <v>62.0</v>
      </c>
      <c r="BS4" s="30">
        <v>15.0</v>
      </c>
      <c r="BT4" s="31">
        <v>2320.0</v>
      </c>
      <c r="BU4" s="24">
        <f t="shared" si="14"/>
        <v>2397</v>
      </c>
    </row>
    <row r="5" ht="21.0" customHeight="1">
      <c r="A5" s="24" t="s">
        <v>72</v>
      </c>
      <c r="B5" s="33">
        <v>1051.0</v>
      </c>
      <c r="C5" s="30">
        <v>38.0</v>
      </c>
      <c r="D5" s="31">
        <v>25.0</v>
      </c>
      <c r="E5" s="28">
        <f t="shared" si="1"/>
        <v>1114</v>
      </c>
      <c r="F5" s="30">
        <v>161.0</v>
      </c>
      <c r="G5" s="30">
        <v>175.0</v>
      </c>
      <c r="H5" s="30">
        <v>166.0</v>
      </c>
      <c r="I5" s="30">
        <v>143.0</v>
      </c>
      <c r="J5" s="30">
        <v>136.0</v>
      </c>
      <c r="K5" s="30">
        <v>197.0</v>
      </c>
      <c r="L5" s="31">
        <v>136.0</v>
      </c>
      <c r="M5" s="24">
        <f t="shared" si="2"/>
        <v>1114</v>
      </c>
      <c r="N5" s="30">
        <v>655.0</v>
      </c>
      <c r="O5" s="31">
        <v>459.0</v>
      </c>
      <c r="P5" s="24">
        <f t="shared" si="3"/>
        <v>1114</v>
      </c>
      <c r="Q5" s="30">
        <v>960.0</v>
      </c>
      <c r="R5" s="31">
        <v>154.0</v>
      </c>
      <c r="S5" s="24">
        <f t="shared" si="4"/>
        <v>1114</v>
      </c>
      <c r="T5" s="30">
        <v>1033.0</v>
      </c>
      <c r="U5" s="30">
        <v>287.0</v>
      </c>
      <c r="V5" s="30">
        <v>13.0</v>
      </c>
      <c r="W5" s="30">
        <v>371.0</v>
      </c>
      <c r="X5" s="30">
        <v>98.0</v>
      </c>
      <c r="Y5" s="30">
        <v>16.0</v>
      </c>
      <c r="Z5" s="31">
        <v>379.0</v>
      </c>
      <c r="AA5" s="24">
        <f t="shared" si="5"/>
        <v>2197</v>
      </c>
      <c r="AB5" s="30">
        <v>90.0</v>
      </c>
      <c r="AC5" s="30">
        <v>903.0</v>
      </c>
      <c r="AD5" s="30">
        <v>620.0</v>
      </c>
      <c r="AE5" s="30">
        <v>284.0</v>
      </c>
      <c r="AF5" s="30">
        <v>0.0</v>
      </c>
      <c r="AG5" s="24">
        <f t="shared" si="6"/>
        <v>1897</v>
      </c>
      <c r="AH5" s="30">
        <v>1123.0</v>
      </c>
      <c r="AI5" s="30">
        <v>774.0</v>
      </c>
      <c r="AJ5" s="24">
        <f t="shared" si="7"/>
        <v>1897</v>
      </c>
      <c r="AK5" s="30">
        <v>1275.0</v>
      </c>
      <c r="AL5" s="30">
        <v>622.0</v>
      </c>
      <c r="AM5" s="24">
        <f t="shared" si="8"/>
        <v>1897</v>
      </c>
      <c r="AN5" s="30">
        <v>1887.0</v>
      </c>
      <c r="AO5" s="31">
        <v>10.0</v>
      </c>
      <c r="AP5" s="24">
        <f t="shared" si="9"/>
        <v>1897</v>
      </c>
      <c r="AQ5" s="30">
        <v>1670.0</v>
      </c>
      <c r="AR5" s="30">
        <v>104.0</v>
      </c>
      <c r="AS5" s="30">
        <v>25.0</v>
      </c>
      <c r="AT5" s="30">
        <v>0.0</v>
      </c>
      <c r="AU5" s="31">
        <v>98.0</v>
      </c>
      <c r="AV5" s="24">
        <f t="shared" si="15"/>
        <v>1897</v>
      </c>
      <c r="AW5" s="29">
        <f t="shared" si="10"/>
        <v>98</v>
      </c>
      <c r="AX5" s="30">
        <v>1741.0</v>
      </c>
      <c r="AY5" s="31">
        <v>58.0</v>
      </c>
      <c r="AZ5" s="24">
        <f t="shared" si="11"/>
        <v>1897</v>
      </c>
      <c r="BA5" s="30">
        <v>961.0</v>
      </c>
      <c r="BB5" s="30">
        <v>0.0</v>
      </c>
      <c r="BC5" s="30">
        <v>32.0</v>
      </c>
      <c r="BD5" s="30">
        <v>0.0</v>
      </c>
      <c r="BE5" s="30">
        <v>5.0</v>
      </c>
      <c r="BF5" s="30">
        <v>68.0</v>
      </c>
      <c r="BG5" s="30">
        <v>32.0</v>
      </c>
      <c r="BH5" s="31">
        <v>16.0</v>
      </c>
      <c r="BI5" s="24">
        <f t="shared" si="12"/>
        <v>1114</v>
      </c>
      <c r="BJ5" s="30">
        <v>22.0</v>
      </c>
      <c r="BK5" s="30">
        <v>24.0</v>
      </c>
      <c r="BL5" s="30">
        <v>30.0</v>
      </c>
      <c r="BM5" s="30">
        <v>8.0</v>
      </c>
      <c r="BN5" s="30">
        <v>255.0</v>
      </c>
      <c r="BO5" s="30">
        <v>0.0</v>
      </c>
      <c r="BP5" s="31">
        <v>775.0</v>
      </c>
      <c r="BQ5" s="24">
        <f t="shared" si="13"/>
        <v>1114</v>
      </c>
      <c r="BR5" s="32">
        <v>79.0</v>
      </c>
      <c r="BS5" s="30">
        <v>30.0</v>
      </c>
      <c r="BT5" s="31">
        <v>1902.0</v>
      </c>
      <c r="BU5" s="24">
        <f t="shared" si="14"/>
        <v>2011</v>
      </c>
    </row>
    <row r="6" ht="21.0" customHeight="1">
      <c r="A6" s="34" t="s">
        <v>73</v>
      </c>
      <c r="B6" s="33">
        <v>1079.0</v>
      </c>
      <c r="C6" s="30">
        <v>39.0</v>
      </c>
      <c r="D6" s="31">
        <v>7.0</v>
      </c>
      <c r="E6" s="28">
        <f t="shared" si="1"/>
        <v>1125</v>
      </c>
      <c r="F6" s="30">
        <v>157.0</v>
      </c>
      <c r="G6" s="30">
        <v>154.0</v>
      </c>
      <c r="H6" s="30">
        <v>138.0</v>
      </c>
      <c r="I6" s="30">
        <v>160.0</v>
      </c>
      <c r="J6" s="30">
        <v>178.0</v>
      </c>
      <c r="K6" s="30">
        <v>201.0</v>
      </c>
      <c r="L6" s="31">
        <v>137.0</v>
      </c>
      <c r="M6" s="24">
        <f t="shared" si="2"/>
        <v>1125</v>
      </c>
      <c r="N6" s="30">
        <v>687.0</v>
      </c>
      <c r="O6" s="31">
        <v>438.0</v>
      </c>
      <c r="P6" s="24">
        <f t="shared" si="3"/>
        <v>1125</v>
      </c>
      <c r="Q6" s="30">
        <v>986.0</v>
      </c>
      <c r="R6" s="31">
        <v>139.0</v>
      </c>
      <c r="S6" s="24">
        <f t="shared" si="4"/>
        <v>1125</v>
      </c>
      <c r="T6" s="30">
        <v>1228.0</v>
      </c>
      <c r="U6" s="30">
        <v>229.0</v>
      </c>
      <c r="V6" s="30">
        <v>9.0</v>
      </c>
      <c r="W6" s="30">
        <v>121.0</v>
      </c>
      <c r="X6" s="30">
        <v>87.0</v>
      </c>
      <c r="Y6" s="30">
        <v>13.0</v>
      </c>
      <c r="Z6" s="31">
        <v>290.0</v>
      </c>
      <c r="AA6" s="24">
        <f t="shared" si="5"/>
        <v>1977</v>
      </c>
      <c r="AB6" s="30">
        <v>106.0</v>
      </c>
      <c r="AC6" s="30">
        <v>925.0</v>
      </c>
      <c r="AD6" s="30">
        <v>664.0</v>
      </c>
      <c r="AE6" s="30">
        <v>214.0</v>
      </c>
      <c r="AF6" s="30">
        <v>0.0</v>
      </c>
      <c r="AG6" s="24">
        <f t="shared" si="6"/>
        <v>1909</v>
      </c>
      <c r="AH6" s="30">
        <v>1084.0</v>
      </c>
      <c r="AI6" s="30">
        <v>825.0</v>
      </c>
      <c r="AJ6" s="24">
        <f t="shared" si="7"/>
        <v>1909</v>
      </c>
      <c r="AK6" s="30">
        <v>1346.0</v>
      </c>
      <c r="AL6" s="30">
        <v>563.0</v>
      </c>
      <c r="AM6" s="24">
        <f t="shared" si="8"/>
        <v>1909</v>
      </c>
      <c r="AN6" s="30">
        <v>1909.0</v>
      </c>
      <c r="AO6" s="31">
        <v>0.0</v>
      </c>
      <c r="AP6" s="24">
        <f t="shared" si="9"/>
        <v>1909</v>
      </c>
      <c r="AQ6" s="30">
        <v>1701.0</v>
      </c>
      <c r="AR6" s="30">
        <v>93.0</v>
      </c>
      <c r="AS6" s="30">
        <v>15.0</v>
      </c>
      <c r="AT6" s="30">
        <v>0.0</v>
      </c>
      <c r="AU6" s="31">
        <v>100.0</v>
      </c>
      <c r="AV6" s="24">
        <f t="shared" si="15"/>
        <v>1909</v>
      </c>
      <c r="AW6" s="29">
        <f t="shared" si="10"/>
        <v>100</v>
      </c>
      <c r="AX6" s="30">
        <v>1710.0</v>
      </c>
      <c r="AY6" s="31">
        <v>99.0</v>
      </c>
      <c r="AZ6" s="24">
        <f t="shared" si="11"/>
        <v>1909</v>
      </c>
      <c r="BA6" s="30">
        <v>969.0</v>
      </c>
      <c r="BB6" s="30">
        <v>18.0</v>
      </c>
      <c r="BC6" s="30">
        <v>3.0</v>
      </c>
      <c r="BD6" s="30">
        <v>2.0</v>
      </c>
      <c r="BE6" s="30">
        <v>79.0</v>
      </c>
      <c r="BF6" s="30">
        <v>28.0</v>
      </c>
      <c r="BG6" s="30">
        <v>26.0</v>
      </c>
      <c r="BH6" s="31">
        <v>0.0</v>
      </c>
      <c r="BI6" s="24">
        <f t="shared" si="12"/>
        <v>1125</v>
      </c>
      <c r="BJ6" s="30">
        <v>21.0</v>
      </c>
      <c r="BK6" s="30">
        <v>15.0</v>
      </c>
      <c r="BL6" s="30">
        <v>22.0</v>
      </c>
      <c r="BM6" s="30">
        <v>7.0</v>
      </c>
      <c r="BN6" s="30">
        <v>187.0</v>
      </c>
      <c r="BO6" s="30">
        <v>0.0</v>
      </c>
      <c r="BP6" s="31">
        <v>873.0</v>
      </c>
      <c r="BQ6" s="24">
        <f t="shared" si="13"/>
        <v>1125</v>
      </c>
      <c r="BR6" s="32">
        <v>78.0</v>
      </c>
      <c r="BS6" s="30">
        <v>10.0</v>
      </c>
      <c r="BT6" s="31">
        <v>1995.0</v>
      </c>
      <c r="BU6" s="24">
        <f t="shared" si="14"/>
        <v>2083</v>
      </c>
    </row>
    <row r="7" ht="21.0" customHeight="1">
      <c r="A7" s="34" t="s">
        <v>74</v>
      </c>
      <c r="B7" s="33">
        <v>1051.0</v>
      </c>
      <c r="C7" s="30">
        <v>21.0</v>
      </c>
      <c r="D7" s="31">
        <v>15.0</v>
      </c>
      <c r="E7" s="28">
        <f t="shared" si="1"/>
        <v>1087</v>
      </c>
      <c r="F7" s="30">
        <v>152.0</v>
      </c>
      <c r="G7" s="30">
        <v>157.0</v>
      </c>
      <c r="H7" s="30">
        <v>150.0</v>
      </c>
      <c r="I7" s="30">
        <v>154.0</v>
      </c>
      <c r="J7" s="30">
        <v>170.0</v>
      </c>
      <c r="K7" s="30">
        <v>166.0</v>
      </c>
      <c r="L7" s="31">
        <v>138.0</v>
      </c>
      <c r="M7" s="24">
        <f t="shared" si="2"/>
        <v>1087</v>
      </c>
      <c r="N7" s="30">
        <v>634.0</v>
      </c>
      <c r="O7" s="31">
        <v>453.0</v>
      </c>
      <c r="P7" s="24">
        <f t="shared" si="3"/>
        <v>1087</v>
      </c>
      <c r="Q7" s="30">
        <v>973.0</v>
      </c>
      <c r="R7" s="31">
        <v>114.0</v>
      </c>
      <c r="S7" s="24">
        <f t="shared" si="4"/>
        <v>1087</v>
      </c>
      <c r="T7" s="30">
        <v>1399.0</v>
      </c>
      <c r="U7" s="30">
        <v>264.0</v>
      </c>
      <c r="V7" s="30">
        <v>15.0</v>
      </c>
      <c r="W7" s="30">
        <v>340.0</v>
      </c>
      <c r="X7" s="30">
        <v>77.0</v>
      </c>
      <c r="Y7" s="30">
        <v>19.0</v>
      </c>
      <c r="Z7" s="31">
        <v>1589.0</v>
      </c>
      <c r="AA7" s="24">
        <f t="shared" si="5"/>
        <v>3703</v>
      </c>
      <c r="AB7" s="30">
        <v>104.0</v>
      </c>
      <c r="AC7" s="30">
        <v>901.0</v>
      </c>
      <c r="AD7" s="30">
        <v>696.0</v>
      </c>
      <c r="AE7" s="30">
        <v>228.0</v>
      </c>
      <c r="AF7" s="30">
        <v>0.0</v>
      </c>
      <c r="AG7" s="24">
        <f t="shared" si="6"/>
        <v>1929</v>
      </c>
      <c r="AH7" s="30">
        <v>1232.0</v>
      </c>
      <c r="AI7" s="30">
        <v>697.0</v>
      </c>
      <c r="AJ7" s="24">
        <f t="shared" si="7"/>
        <v>1929</v>
      </c>
      <c r="AK7" s="30">
        <v>1372.0</v>
      </c>
      <c r="AL7" s="30">
        <v>557.0</v>
      </c>
      <c r="AM7" s="24">
        <f t="shared" si="8"/>
        <v>1929</v>
      </c>
      <c r="AN7" s="30">
        <v>1892.0</v>
      </c>
      <c r="AO7" s="31">
        <v>37.0</v>
      </c>
      <c r="AP7" s="24">
        <f t="shared" si="9"/>
        <v>1929</v>
      </c>
      <c r="AQ7" s="30">
        <v>1783.0</v>
      </c>
      <c r="AR7" s="30">
        <v>77.0</v>
      </c>
      <c r="AS7" s="30">
        <v>20.0</v>
      </c>
      <c r="AT7" s="30">
        <v>0.0</v>
      </c>
      <c r="AU7" s="31">
        <v>49.0</v>
      </c>
      <c r="AV7" s="24">
        <f t="shared" si="15"/>
        <v>1929</v>
      </c>
      <c r="AW7" s="29">
        <f t="shared" si="10"/>
        <v>49</v>
      </c>
      <c r="AX7" s="30">
        <v>1821.0</v>
      </c>
      <c r="AY7" s="31">
        <v>59.0</v>
      </c>
      <c r="AZ7" s="24">
        <f t="shared" si="11"/>
        <v>1929</v>
      </c>
      <c r="BA7" s="30">
        <v>955.0</v>
      </c>
      <c r="BB7" s="30">
        <v>0.0</v>
      </c>
      <c r="BC7" s="30">
        <v>23.0</v>
      </c>
      <c r="BD7" s="30">
        <v>0.0</v>
      </c>
      <c r="BE7" s="30">
        <v>3.0</v>
      </c>
      <c r="BF7" s="30">
        <v>66.0</v>
      </c>
      <c r="BG7" s="30">
        <v>21.0</v>
      </c>
      <c r="BH7" s="31">
        <v>19.0</v>
      </c>
      <c r="BI7" s="24">
        <f t="shared" si="12"/>
        <v>1087</v>
      </c>
      <c r="BJ7" s="30">
        <v>6.0</v>
      </c>
      <c r="BK7" s="30">
        <v>10.0</v>
      </c>
      <c r="BL7" s="30">
        <v>25.0</v>
      </c>
      <c r="BM7" s="30">
        <v>12.0</v>
      </c>
      <c r="BN7" s="30">
        <v>228.0</v>
      </c>
      <c r="BO7" s="30">
        <v>0.0</v>
      </c>
      <c r="BP7" s="31">
        <v>806.0</v>
      </c>
      <c r="BQ7" s="24">
        <f t="shared" si="13"/>
        <v>1087</v>
      </c>
      <c r="BR7" s="32">
        <v>44.0</v>
      </c>
      <c r="BS7" s="30">
        <v>22.0</v>
      </c>
      <c r="BT7" s="31">
        <v>1916.0</v>
      </c>
      <c r="BU7" s="24">
        <f t="shared" si="14"/>
        <v>1982</v>
      </c>
    </row>
    <row r="8" ht="21.0" customHeight="1">
      <c r="A8" s="24" t="s">
        <v>75</v>
      </c>
      <c r="B8" s="33">
        <v>1174.0</v>
      </c>
      <c r="C8" s="30">
        <v>40.0</v>
      </c>
      <c r="D8" s="31">
        <v>10.0</v>
      </c>
      <c r="E8" s="28">
        <f t="shared" si="1"/>
        <v>1224</v>
      </c>
      <c r="F8" s="30">
        <v>150.0</v>
      </c>
      <c r="G8" s="30">
        <v>167.0</v>
      </c>
      <c r="H8" s="30">
        <v>170.0</v>
      </c>
      <c r="I8" s="30">
        <v>169.0</v>
      </c>
      <c r="J8" s="30">
        <v>202.0</v>
      </c>
      <c r="K8" s="30">
        <v>198.0</v>
      </c>
      <c r="L8" s="31">
        <v>168.0</v>
      </c>
      <c r="M8" s="24">
        <f t="shared" si="2"/>
        <v>1224</v>
      </c>
      <c r="N8" s="30">
        <v>776.0</v>
      </c>
      <c r="O8" s="31">
        <v>448.0</v>
      </c>
      <c r="P8" s="24">
        <f t="shared" si="3"/>
        <v>1224</v>
      </c>
      <c r="Q8" s="30">
        <v>1094.0</v>
      </c>
      <c r="R8" s="31">
        <v>130.0</v>
      </c>
      <c r="S8" s="24">
        <f t="shared" si="4"/>
        <v>1224</v>
      </c>
      <c r="T8" s="30">
        <v>1294.0</v>
      </c>
      <c r="U8" s="30">
        <v>210.0</v>
      </c>
      <c r="V8" s="30">
        <v>26.0</v>
      </c>
      <c r="W8" s="30">
        <v>299.0</v>
      </c>
      <c r="X8" s="30">
        <v>92.0</v>
      </c>
      <c r="Y8" s="30">
        <v>19.0</v>
      </c>
      <c r="Z8" s="31">
        <v>290.0</v>
      </c>
      <c r="AA8" s="24">
        <f t="shared" si="5"/>
        <v>2230</v>
      </c>
      <c r="AB8" s="30">
        <v>112.0</v>
      </c>
      <c r="AC8" s="30">
        <v>993.0</v>
      </c>
      <c r="AD8" s="30">
        <v>719.0</v>
      </c>
      <c r="AE8" s="30">
        <v>311.0</v>
      </c>
      <c r="AF8" s="30">
        <v>0.0</v>
      </c>
      <c r="AG8" s="24">
        <f t="shared" si="6"/>
        <v>2135</v>
      </c>
      <c r="AH8" s="30">
        <v>1439.0</v>
      </c>
      <c r="AI8" s="30">
        <v>696.0</v>
      </c>
      <c r="AJ8" s="24">
        <f t="shared" si="7"/>
        <v>2135</v>
      </c>
      <c r="AK8" s="30">
        <v>1527.0</v>
      </c>
      <c r="AL8" s="30">
        <v>608.0</v>
      </c>
      <c r="AM8" s="24">
        <f t="shared" si="8"/>
        <v>2135</v>
      </c>
      <c r="AN8" s="30">
        <v>2129.0</v>
      </c>
      <c r="AO8" s="31">
        <v>6.0</v>
      </c>
      <c r="AP8" s="24">
        <f t="shared" si="9"/>
        <v>2135</v>
      </c>
      <c r="AQ8" s="30">
        <v>1924.0</v>
      </c>
      <c r="AR8" s="30">
        <v>126.0</v>
      </c>
      <c r="AS8" s="30">
        <v>10.0</v>
      </c>
      <c r="AT8" s="30">
        <v>0.0</v>
      </c>
      <c r="AU8" s="31">
        <v>75.0</v>
      </c>
      <c r="AV8" s="24">
        <f t="shared" si="15"/>
        <v>2135</v>
      </c>
      <c r="AW8" s="29">
        <f t="shared" si="10"/>
        <v>75</v>
      </c>
      <c r="AX8" s="30">
        <v>2028.0</v>
      </c>
      <c r="AY8" s="31">
        <v>32.0</v>
      </c>
      <c r="AZ8" s="24">
        <f t="shared" si="11"/>
        <v>2135</v>
      </c>
      <c r="BA8" s="30">
        <v>1081.0</v>
      </c>
      <c r="BB8" s="30">
        <v>0.0</v>
      </c>
      <c r="BC8" s="30">
        <v>24.0</v>
      </c>
      <c r="BD8" s="30">
        <v>0.0</v>
      </c>
      <c r="BE8" s="30">
        <v>2.0</v>
      </c>
      <c r="BF8" s="30">
        <v>69.0</v>
      </c>
      <c r="BG8" s="30">
        <v>39.0</v>
      </c>
      <c r="BH8" s="31">
        <v>9.0</v>
      </c>
      <c r="BI8" s="24">
        <f t="shared" si="12"/>
        <v>1224</v>
      </c>
      <c r="BJ8" s="30">
        <v>28.0</v>
      </c>
      <c r="BK8" s="30">
        <v>33.0</v>
      </c>
      <c r="BL8" s="30">
        <v>26.0</v>
      </c>
      <c r="BM8" s="30">
        <v>7.0</v>
      </c>
      <c r="BN8" s="30">
        <v>240.0</v>
      </c>
      <c r="BO8" s="30">
        <v>0.0</v>
      </c>
      <c r="BP8" s="31">
        <v>890.0</v>
      </c>
      <c r="BQ8" s="101">
        <f t="shared" si="13"/>
        <v>1224</v>
      </c>
      <c r="BR8" s="32">
        <v>49.0</v>
      </c>
      <c r="BS8" s="30">
        <v>12.0</v>
      </c>
      <c r="BT8" s="31">
        <v>2157.0</v>
      </c>
      <c r="BU8" s="24">
        <f t="shared" si="14"/>
        <v>2218</v>
      </c>
    </row>
    <row r="9" ht="21.0" customHeight="1">
      <c r="A9" s="24" t="s">
        <v>76</v>
      </c>
      <c r="B9" s="33">
        <v>1046.0</v>
      </c>
      <c r="C9" s="30">
        <v>22.0</v>
      </c>
      <c r="D9" s="31">
        <v>11.0</v>
      </c>
      <c r="E9" s="28">
        <f t="shared" si="1"/>
        <v>1079</v>
      </c>
      <c r="F9" s="30">
        <v>151.0</v>
      </c>
      <c r="G9" s="30">
        <v>160.0</v>
      </c>
      <c r="H9" s="30">
        <v>144.0</v>
      </c>
      <c r="I9" s="30">
        <v>158.0</v>
      </c>
      <c r="J9" s="30">
        <v>160.0</v>
      </c>
      <c r="K9" s="30">
        <v>180.0</v>
      </c>
      <c r="L9" s="31">
        <v>126.0</v>
      </c>
      <c r="M9" s="24">
        <f t="shared" si="2"/>
        <v>1079</v>
      </c>
      <c r="N9" s="30">
        <v>618.0</v>
      </c>
      <c r="O9" s="31">
        <v>461.0</v>
      </c>
      <c r="P9" s="24">
        <f t="shared" si="3"/>
        <v>1079</v>
      </c>
      <c r="Q9" s="30">
        <v>948.0</v>
      </c>
      <c r="R9" s="31">
        <v>131.0</v>
      </c>
      <c r="S9" s="24">
        <f t="shared" si="4"/>
        <v>1079</v>
      </c>
      <c r="T9" s="30">
        <v>1256.0</v>
      </c>
      <c r="U9" s="30">
        <v>259.0</v>
      </c>
      <c r="V9" s="30">
        <v>9.0</v>
      </c>
      <c r="W9" s="30">
        <v>250.0</v>
      </c>
      <c r="X9" s="30">
        <v>98.0</v>
      </c>
      <c r="Y9" s="30">
        <v>25.0</v>
      </c>
      <c r="Z9" s="31">
        <v>342.0</v>
      </c>
      <c r="AA9" s="24">
        <f t="shared" si="5"/>
        <v>2239</v>
      </c>
      <c r="AB9" s="30">
        <v>105.0</v>
      </c>
      <c r="AC9" s="30">
        <v>1053.0</v>
      </c>
      <c r="AD9" s="30">
        <v>540.0</v>
      </c>
      <c r="AE9" s="30">
        <v>300.0</v>
      </c>
      <c r="AF9" s="30">
        <v>0.0</v>
      </c>
      <c r="AG9" s="24">
        <f t="shared" si="6"/>
        <v>1998</v>
      </c>
      <c r="AH9" s="30">
        <v>1124.0</v>
      </c>
      <c r="AI9" s="30">
        <v>874.0</v>
      </c>
      <c r="AJ9" s="24">
        <f t="shared" si="7"/>
        <v>1998</v>
      </c>
      <c r="AK9" s="30">
        <v>1395.0</v>
      </c>
      <c r="AL9" s="30">
        <v>603.0</v>
      </c>
      <c r="AM9" s="24">
        <f t="shared" si="8"/>
        <v>1998</v>
      </c>
      <c r="AN9" s="30">
        <v>1956.0</v>
      </c>
      <c r="AO9" s="31">
        <v>42.0</v>
      </c>
      <c r="AP9" s="24">
        <f t="shared" si="9"/>
        <v>1998</v>
      </c>
      <c r="AQ9" s="30">
        <v>1782.0</v>
      </c>
      <c r="AR9" s="30">
        <v>111.0</v>
      </c>
      <c r="AS9" s="30">
        <v>10.0</v>
      </c>
      <c r="AT9" s="30">
        <v>0.0</v>
      </c>
      <c r="AU9" s="31">
        <v>95.0</v>
      </c>
      <c r="AV9" s="24">
        <f t="shared" si="15"/>
        <v>1998</v>
      </c>
      <c r="AW9" s="29">
        <f t="shared" si="10"/>
        <v>95</v>
      </c>
      <c r="AX9" s="30">
        <v>1849.0</v>
      </c>
      <c r="AY9" s="31">
        <v>54.0</v>
      </c>
      <c r="AZ9" s="24">
        <f t="shared" si="11"/>
        <v>1998</v>
      </c>
      <c r="BA9" s="30">
        <v>945.0</v>
      </c>
      <c r="BB9" s="30">
        <v>0.0</v>
      </c>
      <c r="BC9" s="30">
        <v>22.0</v>
      </c>
      <c r="BD9" s="30">
        <v>0.0</v>
      </c>
      <c r="BE9" s="30">
        <v>6.0</v>
      </c>
      <c r="BF9" s="30">
        <v>79.0</v>
      </c>
      <c r="BG9" s="30">
        <v>16.0</v>
      </c>
      <c r="BH9" s="31">
        <v>11.0</v>
      </c>
      <c r="BI9" s="24">
        <f t="shared" si="12"/>
        <v>1079</v>
      </c>
      <c r="BJ9" s="30">
        <v>60.0</v>
      </c>
      <c r="BK9" s="30">
        <v>15.0</v>
      </c>
      <c r="BL9" s="30">
        <v>38.0</v>
      </c>
      <c r="BM9" s="30">
        <v>11.0</v>
      </c>
      <c r="BN9" s="30">
        <v>114.0</v>
      </c>
      <c r="BO9" s="30">
        <v>0.0</v>
      </c>
      <c r="BP9" s="31">
        <v>841.0</v>
      </c>
      <c r="BQ9" s="24">
        <f t="shared" si="13"/>
        <v>1079</v>
      </c>
      <c r="BR9" s="32">
        <v>37.0</v>
      </c>
      <c r="BS9" s="30">
        <v>12.0</v>
      </c>
      <c r="BT9" s="31">
        <v>1948.0</v>
      </c>
      <c r="BU9" s="24">
        <f t="shared" si="14"/>
        <v>1997</v>
      </c>
    </row>
    <row r="10" ht="21.0" customHeight="1">
      <c r="A10" s="24" t="s">
        <v>77</v>
      </c>
      <c r="B10" s="33">
        <v>1028.0</v>
      </c>
      <c r="C10" s="30">
        <v>27.0</v>
      </c>
      <c r="D10" s="31">
        <v>11.0</v>
      </c>
      <c r="E10" s="28">
        <f t="shared" si="1"/>
        <v>1066</v>
      </c>
      <c r="F10" s="30">
        <v>157.0</v>
      </c>
      <c r="G10" s="30">
        <v>155.0</v>
      </c>
      <c r="H10" s="30">
        <v>152.0</v>
      </c>
      <c r="I10" s="30">
        <v>134.0</v>
      </c>
      <c r="J10" s="30">
        <v>153.0</v>
      </c>
      <c r="K10" s="30">
        <v>174.0</v>
      </c>
      <c r="L10" s="31">
        <v>141.0</v>
      </c>
      <c r="M10" s="24">
        <f t="shared" si="2"/>
        <v>1066</v>
      </c>
      <c r="N10" s="30">
        <v>479.0</v>
      </c>
      <c r="O10" s="31">
        <v>587.0</v>
      </c>
      <c r="P10" s="24">
        <f t="shared" si="3"/>
        <v>1066</v>
      </c>
      <c r="Q10" s="30">
        <v>926.0</v>
      </c>
      <c r="R10" s="31">
        <v>140.0</v>
      </c>
      <c r="S10" s="24">
        <f t="shared" si="4"/>
        <v>1066</v>
      </c>
      <c r="T10" s="30">
        <v>995.0</v>
      </c>
      <c r="U10" s="30">
        <v>302.0</v>
      </c>
      <c r="V10" s="30">
        <v>13.0</v>
      </c>
      <c r="W10" s="30">
        <v>451.0</v>
      </c>
      <c r="X10" s="30">
        <v>69.0</v>
      </c>
      <c r="Y10" s="30">
        <v>24.0</v>
      </c>
      <c r="Z10" s="31">
        <v>381.0</v>
      </c>
      <c r="AA10" s="24">
        <f t="shared" si="5"/>
        <v>2235</v>
      </c>
      <c r="AB10" s="30">
        <v>134.0</v>
      </c>
      <c r="AC10" s="30">
        <v>1026.0</v>
      </c>
      <c r="AD10" s="30">
        <v>458.0</v>
      </c>
      <c r="AE10" s="30">
        <v>265.0</v>
      </c>
      <c r="AF10" s="30">
        <v>0.0</v>
      </c>
      <c r="AG10" s="24">
        <f t="shared" si="6"/>
        <v>1883</v>
      </c>
      <c r="AH10" s="30">
        <v>1057.0</v>
      </c>
      <c r="AI10" s="30">
        <v>826.0</v>
      </c>
      <c r="AJ10" s="24">
        <f t="shared" si="7"/>
        <v>1883</v>
      </c>
      <c r="AK10" s="30">
        <v>989.0</v>
      </c>
      <c r="AL10" s="30">
        <v>894.0</v>
      </c>
      <c r="AM10" s="24">
        <f t="shared" si="8"/>
        <v>1883</v>
      </c>
      <c r="AN10" s="30">
        <v>1883.0</v>
      </c>
      <c r="AO10" s="31">
        <v>0.0</v>
      </c>
      <c r="AP10" s="24">
        <f t="shared" si="9"/>
        <v>1883</v>
      </c>
      <c r="AQ10" s="30">
        <v>1630.0</v>
      </c>
      <c r="AR10" s="30">
        <v>97.0</v>
      </c>
      <c r="AS10" s="30">
        <v>10.0</v>
      </c>
      <c r="AT10" s="30">
        <v>0.0</v>
      </c>
      <c r="AU10" s="31">
        <v>146.0</v>
      </c>
      <c r="AV10" s="24">
        <f t="shared" si="15"/>
        <v>1883</v>
      </c>
      <c r="AW10" s="29">
        <f t="shared" si="10"/>
        <v>146</v>
      </c>
      <c r="AX10" s="30">
        <v>1724.0</v>
      </c>
      <c r="AY10" s="31">
        <v>13.0</v>
      </c>
      <c r="AZ10" s="24">
        <f t="shared" si="11"/>
        <v>1883</v>
      </c>
      <c r="BA10" s="30">
        <v>871.0</v>
      </c>
      <c r="BB10" s="30">
        <v>0.0</v>
      </c>
      <c r="BC10" s="30">
        <v>17.0</v>
      </c>
      <c r="BD10" s="30">
        <v>0.0</v>
      </c>
      <c r="BE10" s="30">
        <v>10.0</v>
      </c>
      <c r="BF10" s="30">
        <v>89.0</v>
      </c>
      <c r="BG10" s="30">
        <v>48.0</v>
      </c>
      <c r="BH10" s="31">
        <v>31.0</v>
      </c>
      <c r="BI10" s="24">
        <f t="shared" si="12"/>
        <v>1066</v>
      </c>
      <c r="BJ10" s="30">
        <v>21.0</v>
      </c>
      <c r="BK10" s="30">
        <v>20.0</v>
      </c>
      <c r="BL10" s="30">
        <v>27.0</v>
      </c>
      <c r="BM10" s="30">
        <v>3.0</v>
      </c>
      <c r="BN10" s="30">
        <v>183.0</v>
      </c>
      <c r="BO10" s="30">
        <v>0.0</v>
      </c>
      <c r="BP10" s="31">
        <v>812.0</v>
      </c>
      <c r="BQ10" s="24">
        <f t="shared" si="13"/>
        <v>1066</v>
      </c>
      <c r="BR10" s="32">
        <v>50.0</v>
      </c>
      <c r="BS10" s="30">
        <v>15.0</v>
      </c>
      <c r="BT10" s="31">
        <v>1959.0</v>
      </c>
      <c r="BU10" s="24">
        <f t="shared" si="14"/>
        <v>2024</v>
      </c>
    </row>
    <row r="11" ht="21.0" customHeight="1">
      <c r="A11" s="24" t="s">
        <v>78</v>
      </c>
      <c r="B11" s="33">
        <v>988.0</v>
      </c>
      <c r="C11" s="30">
        <v>23.0</v>
      </c>
      <c r="D11" s="31">
        <v>9.0</v>
      </c>
      <c r="E11" s="28">
        <f t="shared" si="1"/>
        <v>1020</v>
      </c>
      <c r="F11" s="30">
        <v>149.0</v>
      </c>
      <c r="G11" s="30">
        <v>143.0</v>
      </c>
      <c r="H11" s="30">
        <v>151.0</v>
      </c>
      <c r="I11" s="30">
        <v>147.0</v>
      </c>
      <c r="J11" s="30">
        <v>154.0</v>
      </c>
      <c r="K11" s="30">
        <v>147.0</v>
      </c>
      <c r="L11" s="31">
        <v>129.0</v>
      </c>
      <c r="M11" s="24">
        <f t="shared" si="2"/>
        <v>1020</v>
      </c>
      <c r="N11" s="30">
        <v>545.0</v>
      </c>
      <c r="O11" s="31">
        <v>475.0</v>
      </c>
      <c r="P11" s="24">
        <f t="shared" si="3"/>
        <v>1020</v>
      </c>
      <c r="Q11" s="30">
        <v>877.0</v>
      </c>
      <c r="R11" s="31">
        <v>143.0</v>
      </c>
      <c r="S11" s="24">
        <f t="shared" si="4"/>
        <v>1020</v>
      </c>
      <c r="T11" s="30">
        <v>716.0</v>
      </c>
      <c r="U11" s="30">
        <v>306.0</v>
      </c>
      <c r="V11" s="30">
        <v>13.0</v>
      </c>
      <c r="W11" s="30">
        <v>473.0</v>
      </c>
      <c r="X11" s="30">
        <v>42.0</v>
      </c>
      <c r="Y11" s="30">
        <v>36.0</v>
      </c>
      <c r="Z11" s="31">
        <v>374.0</v>
      </c>
      <c r="AA11" s="24">
        <f t="shared" si="5"/>
        <v>1960</v>
      </c>
      <c r="AB11" s="30">
        <v>130.0</v>
      </c>
      <c r="AC11" s="30">
        <v>1091.0</v>
      </c>
      <c r="AD11" s="30">
        <v>323.0</v>
      </c>
      <c r="AE11" s="30">
        <v>261.0</v>
      </c>
      <c r="AF11" s="30">
        <v>0.0</v>
      </c>
      <c r="AG11" s="24">
        <f t="shared" si="6"/>
        <v>1805</v>
      </c>
      <c r="AH11" s="30">
        <v>1084.0</v>
      </c>
      <c r="AI11" s="30">
        <v>721.0</v>
      </c>
      <c r="AJ11" s="24">
        <f t="shared" si="7"/>
        <v>1805</v>
      </c>
      <c r="AK11" s="30">
        <v>1096.0</v>
      </c>
      <c r="AL11" s="30">
        <v>709.0</v>
      </c>
      <c r="AM11" s="24">
        <f t="shared" si="8"/>
        <v>1805</v>
      </c>
      <c r="AN11" s="30">
        <v>1790.0</v>
      </c>
      <c r="AO11" s="31">
        <v>15.0</v>
      </c>
      <c r="AP11" s="24">
        <f t="shared" si="9"/>
        <v>1805</v>
      </c>
      <c r="AQ11" s="30">
        <v>1448.0</v>
      </c>
      <c r="AR11" s="30">
        <v>173.0</v>
      </c>
      <c r="AS11" s="30">
        <v>0.0</v>
      </c>
      <c r="AT11" s="30">
        <v>0.0</v>
      </c>
      <c r="AU11" s="31">
        <v>184.0</v>
      </c>
      <c r="AV11" s="24">
        <f t="shared" si="15"/>
        <v>1805</v>
      </c>
      <c r="AW11" s="29">
        <f t="shared" si="10"/>
        <v>184</v>
      </c>
      <c r="AX11" s="30">
        <v>1567.0</v>
      </c>
      <c r="AY11" s="31">
        <v>54.0</v>
      </c>
      <c r="AZ11" s="24">
        <f t="shared" si="11"/>
        <v>1805</v>
      </c>
      <c r="BA11" s="30">
        <v>863.0</v>
      </c>
      <c r="BB11" s="30">
        <v>0.0</v>
      </c>
      <c r="BC11" s="30">
        <v>14.0</v>
      </c>
      <c r="BD11" s="30">
        <v>0.0</v>
      </c>
      <c r="BE11" s="30">
        <v>0.0</v>
      </c>
      <c r="BF11" s="30">
        <v>70.0</v>
      </c>
      <c r="BG11" s="30">
        <v>35.0</v>
      </c>
      <c r="BH11" s="31">
        <v>38.0</v>
      </c>
      <c r="BI11" s="24">
        <f t="shared" si="12"/>
        <v>1020</v>
      </c>
      <c r="BJ11" s="30">
        <v>15.0</v>
      </c>
      <c r="BK11" s="30">
        <v>37.0</v>
      </c>
      <c r="BL11" s="30">
        <v>30.0</v>
      </c>
      <c r="BM11" s="30">
        <v>8.0</v>
      </c>
      <c r="BN11" s="30">
        <v>209.0</v>
      </c>
      <c r="BO11" s="30">
        <v>0.0</v>
      </c>
      <c r="BP11" s="31">
        <v>721.0</v>
      </c>
      <c r="BQ11" s="24">
        <f t="shared" si="13"/>
        <v>1020</v>
      </c>
      <c r="BR11" s="32">
        <v>44.0</v>
      </c>
      <c r="BS11" s="30">
        <v>12.0</v>
      </c>
      <c r="BT11" s="31">
        <v>1802.0</v>
      </c>
      <c r="BU11" s="24">
        <f t="shared" si="14"/>
        <v>1858</v>
      </c>
    </row>
    <row r="12" ht="21.0" customHeight="1">
      <c r="A12" s="24" t="s">
        <v>79</v>
      </c>
      <c r="B12" s="33">
        <v>1019.0</v>
      </c>
      <c r="C12" s="30">
        <v>21.0</v>
      </c>
      <c r="D12" s="31">
        <v>14.0</v>
      </c>
      <c r="E12" s="28">
        <f t="shared" si="1"/>
        <v>1054</v>
      </c>
      <c r="F12" s="30">
        <v>143.0</v>
      </c>
      <c r="G12" s="30">
        <v>153.0</v>
      </c>
      <c r="H12" s="30">
        <v>133.0</v>
      </c>
      <c r="I12" s="30">
        <v>154.0</v>
      </c>
      <c r="J12" s="30">
        <v>141.0</v>
      </c>
      <c r="K12" s="30">
        <v>179.0</v>
      </c>
      <c r="L12" s="31">
        <v>151.0</v>
      </c>
      <c r="M12" s="24">
        <f t="shared" si="2"/>
        <v>1054</v>
      </c>
      <c r="N12" s="30">
        <v>525.0</v>
      </c>
      <c r="O12" s="31">
        <v>529.0</v>
      </c>
      <c r="P12" s="24">
        <f t="shared" si="3"/>
        <v>1054</v>
      </c>
      <c r="Q12" s="30">
        <v>923.0</v>
      </c>
      <c r="R12" s="31">
        <v>131.0</v>
      </c>
      <c r="S12" s="24">
        <f t="shared" si="4"/>
        <v>1054</v>
      </c>
      <c r="T12" s="30">
        <v>885.0</v>
      </c>
      <c r="U12" s="30">
        <v>307.0</v>
      </c>
      <c r="V12" s="30">
        <v>18.0</v>
      </c>
      <c r="W12" s="30">
        <v>459.0</v>
      </c>
      <c r="X12" s="30">
        <v>74.0</v>
      </c>
      <c r="Y12" s="30">
        <v>17.0</v>
      </c>
      <c r="Z12" s="31">
        <v>288.0</v>
      </c>
      <c r="AA12" s="24">
        <f t="shared" si="5"/>
        <v>2048</v>
      </c>
      <c r="AB12" s="30">
        <v>108.0</v>
      </c>
      <c r="AC12" s="30">
        <v>966.0</v>
      </c>
      <c r="AD12" s="30">
        <v>432.0</v>
      </c>
      <c r="AE12" s="30">
        <v>281.0</v>
      </c>
      <c r="AF12" s="30">
        <v>0.0</v>
      </c>
      <c r="AG12" s="24">
        <f t="shared" si="6"/>
        <v>1787</v>
      </c>
      <c r="AH12" s="30">
        <v>1154.0</v>
      </c>
      <c r="AI12" s="30">
        <v>633.0</v>
      </c>
      <c r="AJ12" s="24">
        <f t="shared" si="7"/>
        <v>1787</v>
      </c>
      <c r="AK12" s="30">
        <v>1120.0</v>
      </c>
      <c r="AL12" s="30">
        <v>667.0</v>
      </c>
      <c r="AM12" s="24">
        <f t="shared" si="8"/>
        <v>1787</v>
      </c>
      <c r="AN12" s="30">
        <v>1774.0</v>
      </c>
      <c r="AO12" s="31">
        <v>13.0</v>
      </c>
      <c r="AP12" s="24">
        <f t="shared" si="9"/>
        <v>1787</v>
      </c>
      <c r="AQ12" s="30">
        <v>1566.0</v>
      </c>
      <c r="AR12" s="30">
        <v>102.0</v>
      </c>
      <c r="AS12" s="30">
        <v>15.0</v>
      </c>
      <c r="AT12" s="30">
        <v>0.0</v>
      </c>
      <c r="AU12" s="31">
        <v>104.0</v>
      </c>
      <c r="AV12" s="24">
        <f t="shared" si="15"/>
        <v>1787</v>
      </c>
      <c r="AW12" s="29">
        <f t="shared" si="10"/>
        <v>104</v>
      </c>
      <c r="AX12" s="30">
        <v>1638.0</v>
      </c>
      <c r="AY12" s="31">
        <v>45.0</v>
      </c>
      <c r="AZ12" s="24">
        <f t="shared" si="11"/>
        <v>1787</v>
      </c>
      <c r="BA12" s="30">
        <v>929.0</v>
      </c>
      <c r="BB12" s="30">
        <v>0.0</v>
      </c>
      <c r="BC12" s="30">
        <v>13.0</v>
      </c>
      <c r="BD12" s="30">
        <v>0.0</v>
      </c>
      <c r="BE12" s="30">
        <v>2.0</v>
      </c>
      <c r="BF12" s="30">
        <v>69.0</v>
      </c>
      <c r="BG12" s="30">
        <v>28.0</v>
      </c>
      <c r="BH12" s="31">
        <v>13.0</v>
      </c>
      <c r="BI12" s="24">
        <f t="shared" si="12"/>
        <v>1054</v>
      </c>
      <c r="BJ12" s="30">
        <v>23.0</v>
      </c>
      <c r="BK12" s="30">
        <v>13.0</v>
      </c>
      <c r="BL12" s="30">
        <v>19.0</v>
      </c>
      <c r="BM12" s="30">
        <v>10.0</v>
      </c>
      <c r="BN12" s="30">
        <v>232.0</v>
      </c>
      <c r="BO12" s="30">
        <v>0.0</v>
      </c>
      <c r="BP12" s="31">
        <v>757.0</v>
      </c>
      <c r="BQ12" s="24">
        <f t="shared" si="13"/>
        <v>1054</v>
      </c>
      <c r="BR12" s="32">
        <v>38.0</v>
      </c>
      <c r="BS12" s="30">
        <v>18.0</v>
      </c>
      <c r="BT12" s="31">
        <v>1812.0</v>
      </c>
      <c r="BU12" s="24">
        <f t="shared" si="14"/>
        <v>1868</v>
      </c>
    </row>
    <row r="13" ht="21.0" customHeight="1">
      <c r="A13" s="24" t="s">
        <v>80</v>
      </c>
      <c r="B13" s="35">
        <v>947.0</v>
      </c>
      <c r="C13" s="36">
        <v>25.0</v>
      </c>
      <c r="D13" s="37">
        <v>14.0</v>
      </c>
      <c r="E13" s="28">
        <f t="shared" si="1"/>
        <v>986</v>
      </c>
      <c r="F13" s="36">
        <v>128.0</v>
      </c>
      <c r="G13" s="36">
        <v>127.0</v>
      </c>
      <c r="H13" s="36">
        <v>143.0</v>
      </c>
      <c r="I13" s="36">
        <v>156.0</v>
      </c>
      <c r="J13" s="36">
        <v>140.0</v>
      </c>
      <c r="K13" s="36">
        <v>173.0</v>
      </c>
      <c r="L13" s="37">
        <v>119.0</v>
      </c>
      <c r="M13" s="24">
        <f t="shared" si="2"/>
        <v>986</v>
      </c>
      <c r="N13" s="36">
        <v>489.0</v>
      </c>
      <c r="O13" s="37">
        <v>497.0</v>
      </c>
      <c r="P13" s="24">
        <f t="shared" si="3"/>
        <v>986</v>
      </c>
      <c r="Q13" s="30">
        <v>881.0</v>
      </c>
      <c r="R13" s="31">
        <v>105.0</v>
      </c>
      <c r="S13" s="24">
        <f t="shared" si="4"/>
        <v>986</v>
      </c>
      <c r="T13" s="30">
        <v>884.0</v>
      </c>
      <c r="U13" s="30">
        <v>319.0</v>
      </c>
      <c r="V13" s="30">
        <v>7.0</v>
      </c>
      <c r="W13" s="30">
        <v>475.0</v>
      </c>
      <c r="X13" s="30">
        <v>63.0</v>
      </c>
      <c r="Y13" s="30">
        <v>30.0</v>
      </c>
      <c r="Z13" s="31">
        <v>350.0</v>
      </c>
      <c r="AA13" s="24">
        <f t="shared" si="5"/>
        <v>2128</v>
      </c>
      <c r="AB13" s="30">
        <v>96.0</v>
      </c>
      <c r="AC13" s="30">
        <v>1050.0</v>
      </c>
      <c r="AD13" s="30">
        <v>382.0</v>
      </c>
      <c r="AE13" s="30">
        <v>281.0</v>
      </c>
      <c r="AF13" s="30">
        <v>0.0</v>
      </c>
      <c r="AG13" s="24">
        <f t="shared" si="6"/>
        <v>1809</v>
      </c>
      <c r="AH13" s="30">
        <v>1026.0</v>
      </c>
      <c r="AI13" s="30">
        <v>783.0</v>
      </c>
      <c r="AJ13" s="24">
        <f t="shared" si="7"/>
        <v>1809</v>
      </c>
      <c r="AK13" s="30">
        <v>896.0</v>
      </c>
      <c r="AL13" s="30">
        <v>913.0</v>
      </c>
      <c r="AM13" s="24">
        <f t="shared" si="8"/>
        <v>1809</v>
      </c>
      <c r="AN13" s="30">
        <v>1756.0</v>
      </c>
      <c r="AO13" s="31">
        <v>53.0</v>
      </c>
      <c r="AP13" s="24">
        <f t="shared" si="9"/>
        <v>1809</v>
      </c>
      <c r="AQ13" s="30">
        <v>1671.0</v>
      </c>
      <c r="AR13" s="30">
        <v>81.0</v>
      </c>
      <c r="AS13" s="30">
        <v>0.0</v>
      </c>
      <c r="AT13" s="30">
        <v>0.0</v>
      </c>
      <c r="AU13" s="31">
        <v>57.0</v>
      </c>
      <c r="AV13" s="24">
        <f t="shared" si="15"/>
        <v>1809</v>
      </c>
      <c r="AW13" s="29">
        <f t="shared" si="10"/>
        <v>57</v>
      </c>
      <c r="AX13" s="30">
        <v>1699.0</v>
      </c>
      <c r="AY13" s="31">
        <v>53.0</v>
      </c>
      <c r="AZ13" s="24">
        <f t="shared" si="11"/>
        <v>1809</v>
      </c>
      <c r="BA13" s="30">
        <v>868.0</v>
      </c>
      <c r="BB13" s="30">
        <v>0.0</v>
      </c>
      <c r="BC13" s="30">
        <v>16.0</v>
      </c>
      <c r="BD13" s="30">
        <v>0.0</v>
      </c>
      <c r="BE13" s="30">
        <v>2.0</v>
      </c>
      <c r="BF13" s="30">
        <v>66.0</v>
      </c>
      <c r="BG13" s="30">
        <v>18.0</v>
      </c>
      <c r="BH13" s="31">
        <v>16.0</v>
      </c>
      <c r="BI13" s="24">
        <f t="shared" si="12"/>
        <v>986</v>
      </c>
      <c r="BJ13" s="36">
        <v>5.0</v>
      </c>
      <c r="BK13" s="36">
        <v>8.0</v>
      </c>
      <c r="BL13" s="36">
        <v>19.0</v>
      </c>
      <c r="BM13" s="36">
        <v>12.0</v>
      </c>
      <c r="BN13" s="36">
        <v>200.0</v>
      </c>
      <c r="BO13" s="36">
        <v>0.0</v>
      </c>
      <c r="BP13" s="37">
        <v>742.0</v>
      </c>
      <c r="BQ13" s="38">
        <f t="shared" si="13"/>
        <v>986</v>
      </c>
      <c r="BR13" s="39">
        <v>51.0</v>
      </c>
      <c r="BS13" s="36">
        <v>18.0</v>
      </c>
      <c r="BT13" s="37">
        <v>1856.0</v>
      </c>
      <c r="BU13" s="38">
        <f t="shared" si="14"/>
        <v>1925</v>
      </c>
    </row>
    <row r="14" ht="21.0" customHeight="1">
      <c r="A14" s="24" t="s">
        <v>47</v>
      </c>
      <c r="B14" s="40">
        <f t="shared" ref="B14:Z14" si="16">SUM(B2:B13)</f>
        <v>12704</v>
      </c>
      <c r="C14" s="41">
        <f t="shared" si="16"/>
        <v>340</v>
      </c>
      <c r="D14" s="41">
        <f t="shared" si="16"/>
        <v>152</v>
      </c>
      <c r="E14" s="42">
        <f t="shared" si="16"/>
        <v>13196</v>
      </c>
      <c r="F14" s="41">
        <f t="shared" si="16"/>
        <v>1834</v>
      </c>
      <c r="G14" s="41">
        <f t="shared" si="16"/>
        <v>1869</v>
      </c>
      <c r="H14" s="41">
        <f t="shared" si="16"/>
        <v>1816</v>
      </c>
      <c r="I14" s="41">
        <f t="shared" si="16"/>
        <v>1871</v>
      </c>
      <c r="J14" s="41">
        <f t="shared" si="16"/>
        <v>1948</v>
      </c>
      <c r="K14" s="41">
        <f t="shared" si="16"/>
        <v>2135</v>
      </c>
      <c r="L14" s="41">
        <f t="shared" si="16"/>
        <v>1723</v>
      </c>
      <c r="M14" s="24">
        <f t="shared" si="16"/>
        <v>13196</v>
      </c>
      <c r="N14" s="41">
        <f t="shared" si="16"/>
        <v>7462</v>
      </c>
      <c r="O14" s="41">
        <f t="shared" si="16"/>
        <v>5734</v>
      </c>
      <c r="P14" s="24">
        <f t="shared" si="16"/>
        <v>13196</v>
      </c>
      <c r="Q14" s="41">
        <f t="shared" si="16"/>
        <v>11700</v>
      </c>
      <c r="R14" s="43">
        <f t="shared" si="16"/>
        <v>1496</v>
      </c>
      <c r="S14" s="24">
        <f t="shared" si="16"/>
        <v>13196</v>
      </c>
      <c r="T14" s="41">
        <f t="shared" si="16"/>
        <v>13142</v>
      </c>
      <c r="U14" s="41">
        <f t="shared" si="16"/>
        <v>3195</v>
      </c>
      <c r="V14" s="41">
        <f t="shared" si="16"/>
        <v>178</v>
      </c>
      <c r="W14" s="41">
        <f t="shared" si="16"/>
        <v>4522</v>
      </c>
      <c r="X14" s="41">
        <f t="shared" si="16"/>
        <v>953</v>
      </c>
      <c r="Y14" s="41">
        <f t="shared" si="16"/>
        <v>263</v>
      </c>
      <c r="Z14" s="41">
        <f t="shared" si="16"/>
        <v>4659</v>
      </c>
      <c r="AA14" s="24">
        <f t="shared" si="5"/>
        <v>26912</v>
      </c>
      <c r="AB14" s="24">
        <f t="shared" ref="AB14:BU14" si="17">SUM(AB2:AB13)</f>
        <v>1591</v>
      </c>
      <c r="AC14" s="41">
        <f t="shared" si="17"/>
        <v>11671</v>
      </c>
      <c r="AD14" s="41">
        <f t="shared" si="17"/>
        <v>6636</v>
      </c>
      <c r="AE14" s="41">
        <f t="shared" si="17"/>
        <v>3375</v>
      </c>
      <c r="AF14" s="41">
        <f t="shared" si="17"/>
        <v>28</v>
      </c>
      <c r="AG14" s="24">
        <f t="shared" si="17"/>
        <v>23301</v>
      </c>
      <c r="AH14" s="41">
        <f t="shared" si="17"/>
        <v>14073</v>
      </c>
      <c r="AI14" s="41">
        <f t="shared" si="17"/>
        <v>9228</v>
      </c>
      <c r="AJ14" s="24">
        <f t="shared" si="17"/>
        <v>23301</v>
      </c>
      <c r="AK14" s="41">
        <f t="shared" si="17"/>
        <v>14953</v>
      </c>
      <c r="AL14" s="41">
        <f t="shared" si="17"/>
        <v>8348</v>
      </c>
      <c r="AM14" s="24">
        <f t="shared" si="17"/>
        <v>23301</v>
      </c>
      <c r="AN14" s="41">
        <f t="shared" si="17"/>
        <v>23095</v>
      </c>
      <c r="AO14" s="43">
        <f t="shared" si="17"/>
        <v>206</v>
      </c>
      <c r="AP14" s="24">
        <f t="shared" si="17"/>
        <v>23301</v>
      </c>
      <c r="AQ14" s="41">
        <f t="shared" si="17"/>
        <v>20332</v>
      </c>
      <c r="AR14" s="41">
        <f t="shared" si="17"/>
        <v>1397</v>
      </c>
      <c r="AS14" s="41">
        <f t="shared" si="17"/>
        <v>130</v>
      </c>
      <c r="AT14" s="41">
        <f t="shared" si="17"/>
        <v>0</v>
      </c>
      <c r="AU14" s="43">
        <f t="shared" si="17"/>
        <v>1442</v>
      </c>
      <c r="AV14" s="24">
        <f t="shared" si="17"/>
        <v>23301</v>
      </c>
      <c r="AW14" s="40">
        <f t="shared" si="17"/>
        <v>1442</v>
      </c>
      <c r="AX14" s="41">
        <f t="shared" si="17"/>
        <v>21190</v>
      </c>
      <c r="AY14" s="43">
        <f t="shared" si="17"/>
        <v>669</v>
      </c>
      <c r="AZ14" s="24">
        <f t="shared" si="17"/>
        <v>23301</v>
      </c>
      <c r="BA14" s="44">
        <f t="shared" si="17"/>
        <v>11462</v>
      </c>
      <c r="BB14" s="44">
        <f t="shared" si="17"/>
        <v>101</v>
      </c>
      <c r="BC14" s="44">
        <f t="shared" si="17"/>
        <v>216</v>
      </c>
      <c r="BD14" s="44">
        <f t="shared" si="17"/>
        <v>13</v>
      </c>
      <c r="BE14" s="44">
        <f t="shared" si="17"/>
        <v>116</v>
      </c>
      <c r="BF14" s="44">
        <f t="shared" si="17"/>
        <v>749</v>
      </c>
      <c r="BG14" s="44">
        <f t="shared" si="17"/>
        <v>346</v>
      </c>
      <c r="BH14" s="44">
        <f t="shared" si="17"/>
        <v>193</v>
      </c>
      <c r="BI14" s="24">
        <f t="shared" si="17"/>
        <v>13196</v>
      </c>
      <c r="BJ14" s="24">
        <f t="shared" si="17"/>
        <v>343</v>
      </c>
      <c r="BK14" s="24">
        <f t="shared" si="17"/>
        <v>261</v>
      </c>
      <c r="BL14" s="24">
        <f t="shared" si="17"/>
        <v>487</v>
      </c>
      <c r="BM14" s="24">
        <f t="shared" si="17"/>
        <v>144</v>
      </c>
      <c r="BN14" s="24">
        <f t="shared" si="17"/>
        <v>2759</v>
      </c>
      <c r="BO14" s="24">
        <f t="shared" si="17"/>
        <v>0</v>
      </c>
      <c r="BP14" s="24">
        <f t="shared" si="17"/>
        <v>9202</v>
      </c>
      <c r="BQ14" s="24">
        <f t="shared" si="17"/>
        <v>13196</v>
      </c>
      <c r="BR14" s="42">
        <f t="shared" si="17"/>
        <v>631</v>
      </c>
      <c r="BS14" s="24">
        <f t="shared" si="17"/>
        <v>193</v>
      </c>
      <c r="BT14" s="24">
        <f t="shared" si="17"/>
        <v>23693</v>
      </c>
      <c r="BU14" s="24">
        <f t="shared" si="17"/>
        <v>24517</v>
      </c>
    </row>
    <row r="15" ht="12.75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3" width="8.0"/>
  </cols>
  <sheetData>
    <row r="1" ht="124.5" customHeight="1">
      <c r="A1" s="2" t="s">
        <v>1</v>
      </c>
      <c r="B1" s="3" t="s">
        <v>2</v>
      </c>
      <c r="C1" s="3" t="s">
        <v>3</v>
      </c>
      <c r="D1" s="4" t="s">
        <v>4</v>
      </c>
      <c r="E1" s="5" t="s">
        <v>5</v>
      </c>
      <c r="F1" s="2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6" t="s">
        <v>13</v>
      </c>
      <c r="N1" s="2" t="s">
        <v>14</v>
      </c>
      <c r="O1" s="3" t="s">
        <v>15</v>
      </c>
      <c r="P1" s="6" t="s">
        <v>16</v>
      </c>
      <c r="Q1" s="2" t="s">
        <v>17</v>
      </c>
      <c r="R1" s="3" t="s">
        <v>18</v>
      </c>
      <c r="S1" s="6" t="s">
        <v>19</v>
      </c>
      <c r="T1" s="2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6" t="s">
        <v>27</v>
      </c>
      <c r="AB1" s="2">
        <v>-18.0</v>
      </c>
      <c r="AC1" s="3" t="s">
        <v>28</v>
      </c>
      <c r="AD1" s="3" t="s">
        <v>29</v>
      </c>
      <c r="AE1" s="3" t="s">
        <v>30</v>
      </c>
      <c r="AF1" s="3" t="s">
        <v>31</v>
      </c>
      <c r="AG1" s="6" t="s">
        <v>32</v>
      </c>
      <c r="AH1" s="2" t="s">
        <v>33</v>
      </c>
      <c r="AI1" s="3" t="s">
        <v>34</v>
      </c>
      <c r="AJ1" s="6" t="s">
        <v>35</v>
      </c>
      <c r="AK1" s="2" t="s">
        <v>36</v>
      </c>
      <c r="AL1" s="3" t="s">
        <v>37</v>
      </c>
      <c r="AM1" s="6" t="s">
        <v>38</v>
      </c>
      <c r="AN1" s="2" t="s">
        <v>39</v>
      </c>
      <c r="AO1" s="3" t="s">
        <v>40</v>
      </c>
      <c r="AP1" s="6" t="s">
        <v>41</v>
      </c>
      <c r="AQ1" s="2" t="s">
        <v>42</v>
      </c>
      <c r="AR1" s="3" t="s">
        <v>43</v>
      </c>
      <c r="AS1" s="3" t="s">
        <v>44</v>
      </c>
      <c r="AT1" s="3" t="s">
        <v>45</v>
      </c>
      <c r="AU1" s="7" t="s">
        <v>46</v>
      </c>
      <c r="AV1" s="8" t="s">
        <v>47</v>
      </c>
      <c r="AW1" s="9" t="s">
        <v>46</v>
      </c>
      <c r="AX1" s="3" t="s">
        <v>48</v>
      </c>
      <c r="AY1" s="3" t="s">
        <v>49</v>
      </c>
      <c r="AZ1" s="10" t="s">
        <v>47</v>
      </c>
      <c r="BA1" s="11" t="s">
        <v>50</v>
      </c>
      <c r="BB1" s="12" t="s">
        <v>51</v>
      </c>
      <c r="BC1" s="12" t="s">
        <v>52</v>
      </c>
      <c r="BD1" s="12" t="s">
        <v>53</v>
      </c>
      <c r="BE1" s="13" t="s">
        <v>54</v>
      </c>
      <c r="BF1" s="14" t="s">
        <v>55</v>
      </c>
      <c r="BG1" s="14" t="s">
        <v>56</v>
      </c>
      <c r="BH1" s="15" t="s">
        <v>57</v>
      </c>
      <c r="BI1" s="16" t="s">
        <v>47</v>
      </c>
      <c r="BJ1" s="16" t="s">
        <v>58</v>
      </c>
      <c r="BK1" s="17" t="s">
        <v>59</v>
      </c>
      <c r="BL1" s="18" t="s">
        <v>60</v>
      </c>
      <c r="BM1" s="18" t="s">
        <v>61</v>
      </c>
      <c r="BN1" s="18" t="s">
        <v>62</v>
      </c>
      <c r="BO1" s="18" t="s">
        <v>63</v>
      </c>
      <c r="BP1" s="18" t="s">
        <v>26</v>
      </c>
      <c r="BQ1" s="19" t="s">
        <v>64</v>
      </c>
      <c r="BR1" s="20" t="s">
        <v>65</v>
      </c>
      <c r="BS1" s="21" t="s">
        <v>66</v>
      </c>
      <c r="BT1" s="18" t="s">
        <v>67</v>
      </c>
      <c r="BU1" s="22" t="s">
        <v>68</v>
      </c>
    </row>
    <row r="2" ht="21.0" customHeight="1">
      <c r="A2" s="24" t="s">
        <v>69</v>
      </c>
      <c r="B2" s="25">
        <v>1250.0</v>
      </c>
      <c r="C2" s="26">
        <v>140.0</v>
      </c>
      <c r="D2" s="27">
        <v>30.0</v>
      </c>
      <c r="E2" s="28">
        <f t="shared" ref="E2:E13" si="1">SUM(B2:D2)</f>
        <v>1420</v>
      </c>
      <c r="F2" s="26">
        <v>172.0</v>
      </c>
      <c r="G2" s="26">
        <v>130.0</v>
      </c>
      <c r="H2" s="26">
        <v>134.0</v>
      </c>
      <c r="I2" s="26">
        <v>224.0</v>
      </c>
      <c r="J2" s="26">
        <v>247.0</v>
      </c>
      <c r="K2" s="26">
        <v>253.0</v>
      </c>
      <c r="L2" s="27">
        <v>260.0</v>
      </c>
      <c r="M2" s="24">
        <f>SUM(F2:L2)</f>
        <v>1420</v>
      </c>
      <c r="N2" s="26">
        <v>802.0</v>
      </c>
      <c r="O2" s="27">
        <v>618.0</v>
      </c>
      <c r="P2" s="24">
        <f t="shared" ref="P2:P13" si="2">SUM(N2:O2)</f>
        <v>1420</v>
      </c>
      <c r="Q2" s="26">
        <v>965.0</v>
      </c>
      <c r="R2" s="27">
        <v>455.0</v>
      </c>
      <c r="S2" s="24">
        <f t="shared" ref="S2:S13" si="3">SUM(Q2:R2)</f>
        <v>1420</v>
      </c>
      <c r="T2" s="26">
        <v>1302.0</v>
      </c>
      <c r="U2" s="26">
        <v>809.0</v>
      </c>
      <c r="V2" s="26">
        <v>2.0</v>
      </c>
      <c r="W2" s="26">
        <v>444.0</v>
      </c>
      <c r="X2" s="26">
        <v>79.0</v>
      </c>
      <c r="Y2" s="26">
        <v>5.0</v>
      </c>
      <c r="Z2" s="27">
        <v>8.0</v>
      </c>
      <c r="AA2" s="24">
        <f t="shared" ref="AA2:AA13" si="4">SUM(T2:Z2)</f>
        <v>2649</v>
      </c>
      <c r="AB2" s="26">
        <v>454.0</v>
      </c>
      <c r="AC2" s="26">
        <v>787.0</v>
      </c>
      <c r="AD2" s="26">
        <v>754.0</v>
      </c>
      <c r="AE2" s="26">
        <v>497.0</v>
      </c>
      <c r="AF2" s="26">
        <v>157.0</v>
      </c>
      <c r="AG2" s="24">
        <f t="shared" ref="AG2:AG14" si="5">SUM(AB2:AF2)</f>
        <v>2649</v>
      </c>
      <c r="AH2" s="26">
        <v>1825.0</v>
      </c>
      <c r="AI2" s="26">
        <v>824.0</v>
      </c>
      <c r="AJ2" s="24">
        <f t="shared" ref="AJ2:AJ13" si="6">SUM(AH2:AI2)</f>
        <v>2649</v>
      </c>
      <c r="AK2" s="26">
        <v>2250.0</v>
      </c>
      <c r="AL2" s="26">
        <v>399.0</v>
      </c>
      <c r="AM2" s="24">
        <f t="shared" ref="AM2:AM13" si="7">SUM(AK2:AL2)</f>
        <v>2649</v>
      </c>
      <c r="AN2" s="26">
        <v>2610.0</v>
      </c>
      <c r="AO2" s="27">
        <v>39.0</v>
      </c>
      <c r="AP2" s="24">
        <f t="shared" ref="AP2:AP13" si="8">SUM(AN2:AO2)</f>
        <v>2649</v>
      </c>
      <c r="AQ2" s="26">
        <v>2100.0</v>
      </c>
      <c r="AR2" s="26">
        <v>367.0</v>
      </c>
      <c r="AS2" s="26">
        <v>0.0</v>
      </c>
      <c r="AT2" s="26">
        <v>0.0</v>
      </c>
      <c r="AU2" s="27">
        <v>182.0</v>
      </c>
      <c r="AV2" s="24">
        <f>+AQ2+AR2+AS2+AT2+AU2</f>
        <v>2649</v>
      </c>
      <c r="AW2" s="29">
        <f t="shared" ref="AW2:AW13" si="9">AU2</f>
        <v>182</v>
      </c>
      <c r="AX2" s="26">
        <v>2146.0</v>
      </c>
      <c r="AY2" s="27">
        <v>321.0</v>
      </c>
      <c r="AZ2" s="24">
        <f t="shared" ref="AZ2:AZ13" si="10">SUM(AW2:AY2)</f>
        <v>2649</v>
      </c>
      <c r="BA2" s="30">
        <v>1225.0</v>
      </c>
      <c r="BB2" s="30">
        <v>54.0</v>
      </c>
      <c r="BC2" s="30">
        <v>23.0</v>
      </c>
      <c r="BD2" s="30">
        <v>10.0</v>
      </c>
      <c r="BE2" s="30">
        <v>1.0</v>
      </c>
      <c r="BF2" s="30">
        <v>84.0</v>
      </c>
      <c r="BG2" s="30">
        <v>22.0</v>
      </c>
      <c r="BH2" s="31">
        <v>1.0</v>
      </c>
      <c r="BI2" s="24">
        <f t="shared" ref="BI2:BI13" si="11">SUM(BA2:BH2)</f>
        <v>1420</v>
      </c>
      <c r="BJ2" s="30">
        <v>41.0</v>
      </c>
      <c r="BK2" s="30">
        <v>101.0</v>
      </c>
      <c r="BL2" s="30">
        <v>128.0</v>
      </c>
      <c r="BM2" s="30">
        <v>5.0</v>
      </c>
      <c r="BN2" s="30">
        <v>709.0</v>
      </c>
      <c r="BO2" s="30">
        <v>0.0</v>
      </c>
      <c r="BP2" s="31">
        <v>436.0</v>
      </c>
      <c r="BQ2" s="24">
        <f t="shared" ref="BQ2:BQ13" si="12">SUM(BJ2:BP2)</f>
        <v>1420</v>
      </c>
      <c r="BR2" s="107">
        <v>214.0</v>
      </c>
      <c r="BS2" s="107">
        <v>40.0</v>
      </c>
      <c r="BT2" s="107">
        <v>3726.0</v>
      </c>
      <c r="BU2" s="107">
        <f t="shared" ref="BU2:BU13" si="13">SUM(BR2:BT2)</f>
        <v>3980</v>
      </c>
    </row>
    <row r="3" ht="21.0" customHeight="1">
      <c r="A3" s="24" t="s">
        <v>70</v>
      </c>
      <c r="B3" s="33">
        <v>1470.0</v>
      </c>
      <c r="C3" s="30">
        <v>126.0</v>
      </c>
      <c r="D3" s="31">
        <v>42.0</v>
      </c>
      <c r="E3" s="28">
        <f t="shared" si="1"/>
        <v>1638</v>
      </c>
      <c r="F3" s="30">
        <v>240.0</v>
      </c>
      <c r="G3" s="30">
        <v>238.0</v>
      </c>
      <c r="H3" s="30">
        <v>255.0</v>
      </c>
      <c r="I3" s="30">
        <v>227.0</v>
      </c>
      <c r="J3" s="30">
        <v>239.0</v>
      </c>
      <c r="K3" s="30">
        <v>222.0</v>
      </c>
      <c r="L3" s="31">
        <v>217.0</v>
      </c>
      <c r="M3" s="24">
        <f t="shared" ref="M3:M14" si="14">F3+G3+H3+I3+J3+K3+L3</f>
        <v>1638</v>
      </c>
      <c r="N3" s="30">
        <v>1024.0</v>
      </c>
      <c r="O3" s="31">
        <v>614.0</v>
      </c>
      <c r="P3" s="24">
        <f t="shared" si="2"/>
        <v>1638</v>
      </c>
      <c r="Q3" s="30">
        <v>1282.0</v>
      </c>
      <c r="R3" s="31">
        <v>356.0</v>
      </c>
      <c r="S3" s="24">
        <f t="shared" si="3"/>
        <v>1638</v>
      </c>
      <c r="T3" s="30">
        <v>668.0</v>
      </c>
      <c r="U3" s="30">
        <v>287.0</v>
      </c>
      <c r="V3" s="30">
        <v>28.0</v>
      </c>
      <c r="W3" s="30">
        <v>242.0</v>
      </c>
      <c r="X3" s="30">
        <v>387.0</v>
      </c>
      <c r="Y3" s="30">
        <v>17.0</v>
      </c>
      <c r="Z3" s="31">
        <v>83.0</v>
      </c>
      <c r="AA3" s="24">
        <f t="shared" si="4"/>
        <v>1712</v>
      </c>
      <c r="AB3" s="30">
        <v>150.0</v>
      </c>
      <c r="AC3" s="30">
        <v>896.0</v>
      </c>
      <c r="AD3" s="30">
        <v>544.0</v>
      </c>
      <c r="AE3" s="30">
        <v>88.0</v>
      </c>
      <c r="AF3" s="30">
        <v>34.0</v>
      </c>
      <c r="AG3" s="24">
        <f t="shared" si="5"/>
        <v>1712</v>
      </c>
      <c r="AH3" s="30">
        <v>1291.0</v>
      </c>
      <c r="AI3" s="30">
        <v>421.0</v>
      </c>
      <c r="AJ3" s="24">
        <f t="shared" si="6"/>
        <v>1712</v>
      </c>
      <c r="AK3" s="30">
        <v>785.0</v>
      </c>
      <c r="AL3" s="30">
        <v>927.0</v>
      </c>
      <c r="AM3" s="24">
        <f t="shared" si="7"/>
        <v>1712</v>
      </c>
      <c r="AN3" s="30">
        <v>1689.0</v>
      </c>
      <c r="AO3" s="31">
        <v>23.0</v>
      </c>
      <c r="AP3" s="24">
        <f t="shared" si="8"/>
        <v>1712</v>
      </c>
      <c r="AQ3" s="30">
        <v>1039.0</v>
      </c>
      <c r="AR3" s="30">
        <v>460.0</v>
      </c>
      <c r="AS3" s="30">
        <v>0.0</v>
      </c>
      <c r="AT3" s="30">
        <v>0.0</v>
      </c>
      <c r="AU3" s="31">
        <v>213.0</v>
      </c>
      <c r="AV3" s="24">
        <f t="shared" ref="AV3:AV13" si="15">SUM(AQ3:AU3)</f>
        <v>1712</v>
      </c>
      <c r="AW3" s="29">
        <f t="shared" si="9"/>
        <v>213</v>
      </c>
      <c r="AX3" s="30">
        <v>1223.0</v>
      </c>
      <c r="AY3" s="31">
        <v>276.0</v>
      </c>
      <c r="AZ3" s="24">
        <f t="shared" si="10"/>
        <v>1712</v>
      </c>
      <c r="BA3" s="30">
        <v>1308.0</v>
      </c>
      <c r="BB3" s="30">
        <v>0.0</v>
      </c>
      <c r="BC3" s="30">
        <v>72.0</v>
      </c>
      <c r="BD3" s="30">
        <v>0.0</v>
      </c>
      <c r="BE3" s="30">
        <v>4.0</v>
      </c>
      <c r="BF3" s="30">
        <v>170.0</v>
      </c>
      <c r="BG3" s="30">
        <v>45.0</v>
      </c>
      <c r="BH3" s="31">
        <v>39.0</v>
      </c>
      <c r="BI3" s="24">
        <f t="shared" si="11"/>
        <v>1638</v>
      </c>
      <c r="BJ3" s="30">
        <v>33.0</v>
      </c>
      <c r="BK3" s="30">
        <v>97.0</v>
      </c>
      <c r="BL3" s="30">
        <v>77.0</v>
      </c>
      <c r="BM3" s="30">
        <v>51.0</v>
      </c>
      <c r="BN3" s="30">
        <v>393.0</v>
      </c>
      <c r="BO3" s="30">
        <v>6.0</v>
      </c>
      <c r="BP3" s="31">
        <v>981.0</v>
      </c>
      <c r="BQ3" s="24">
        <f t="shared" si="12"/>
        <v>1638</v>
      </c>
      <c r="BR3" s="107">
        <v>157.0</v>
      </c>
      <c r="BS3" s="107">
        <v>50.0</v>
      </c>
      <c r="BT3" s="107">
        <v>1901.0</v>
      </c>
      <c r="BU3" s="107">
        <f t="shared" si="13"/>
        <v>2108</v>
      </c>
    </row>
    <row r="4" ht="21.0" customHeight="1">
      <c r="A4" s="24" t="s">
        <v>71</v>
      </c>
      <c r="B4" s="33">
        <v>1511.0</v>
      </c>
      <c r="C4" s="30">
        <v>100.0</v>
      </c>
      <c r="D4" s="31">
        <v>26.0</v>
      </c>
      <c r="E4" s="28">
        <f t="shared" si="1"/>
        <v>1637</v>
      </c>
      <c r="F4" s="30">
        <v>166.0</v>
      </c>
      <c r="G4" s="30">
        <v>225.0</v>
      </c>
      <c r="H4" s="30">
        <v>217.0</v>
      </c>
      <c r="I4" s="30">
        <v>278.0</v>
      </c>
      <c r="J4" s="30">
        <v>237.0</v>
      </c>
      <c r="K4" s="30">
        <v>309.0</v>
      </c>
      <c r="L4" s="31">
        <v>205.0</v>
      </c>
      <c r="M4" s="24">
        <f t="shared" si="14"/>
        <v>1637</v>
      </c>
      <c r="N4" s="30">
        <v>1074.0</v>
      </c>
      <c r="O4" s="31">
        <v>563.0</v>
      </c>
      <c r="P4" s="24">
        <f t="shared" si="2"/>
        <v>1637</v>
      </c>
      <c r="Q4" s="30">
        <v>1436.0</v>
      </c>
      <c r="R4" s="31">
        <v>201.0</v>
      </c>
      <c r="S4" s="24">
        <f t="shared" si="3"/>
        <v>1637</v>
      </c>
      <c r="T4" s="30">
        <v>594.0</v>
      </c>
      <c r="U4" s="30">
        <v>464.0</v>
      </c>
      <c r="V4" s="30">
        <v>15.0</v>
      </c>
      <c r="W4" s="30">
        <v>352.0</v>
      </c>
      <c r="X4" s="30">
        <v>265.0</v>
      </c>
      <c r="Y4" s="30">
        <v>18.0</v>
      </c>
      <c r="Z4" s="31">
        <v>29.0</v>
      </c>
      <c r="AA4" s="24">
        <f t="shared" si="4"/>
        <v>1737</v>
      </c>
      <c r="AB4" s="30">
        <v>110.0</v>
      </c>
      <c r="AC4" s="30">
        <v>1014.0</v>
      </c>
      <c r="AD4" s="30">
        <v>356.0</v>
      </c>
      <c r="AE4" s="30">
        <v>188.0</v>
      </c>
      <c r="AF4" s="30">
        <v>69.0</v>
      </c>
      <c r="AG4" s="24">
        <f t="shared" si="5"/>
        <v>1737</v>
      </c>
      <c r="AH4" s="30">
        <v>1143.0</v>
      </c>
      <c r="AI4" s="30">
        <v>594.0</v>
      </c>
      <c r="AJ4" s="24">
        <f t="shared" si="6"/>
        <v>1737</v>
      </c>
      <c r="AK4" s="30">
        <v>1211.0</v>
      </c>
      <c r="AL4" s="30">
        <v>526.0</v>
      </c>
      <c r="AM4" s="24">
        <f t="shared" si="7"/>
        <v>1737</v>
      </c>
      <c r="AN4" s="30">
        <v>1686.0</v>
      </c>
      <c r="AO4" s="31">
        <v>51.0</v>
      </c>
      <c r="AP4" s="24">
        <f t="shared" si="8"/>
        <v>1737</v>
      </c>
      <c r="AQ4" s="30">
        <v>1330.0</v>
      </c>
      <c r="AR4" s="30">
        <v>345.0</v>
      </c>
      <c r="AS4" s="30">
        <v>0.0</v>
      </c>
      <c r="AT4" s="30">
        <v>2.0</v>
      </c>
      <c r="AU4" s="31">
        <v>60.0</v>
      </c>
      <c r="AV4" s="24">
        <f t="shared" si="15"/>
        <v>1737</v>
      </c>
      <c r="AW4" s="29">
        <f t="shared" si="9"/>
        <v>60</v>
      </c>
      <c r="AX4" s="30">
        <v>1344.0</v>
      </c>
      <c r="AY4" s="31">
        <v>333.0</v>
      </c>
      <c r="AZ4" s="24">
        <f t="shared" si="10"/>
        <v>1737</v>
      </c>
      <c r="BA4" s="30">
        <v>1266.0</v>
      </c>
      <c r="BB4" s="30">
        <v>0.0</v>
      </c>
      <c r="BC4" s="30">
        <v>132.0</v>
      </c>
      <c r="BD4" s="30">
        <v>0.0</v>
      </c>
      <c r="BE4" s="30">
        <v>32.0</v>
      </c>
      <c r="BF4" s="30">
        <v>119.0</v>
      </c>
      <c r="BG4" s="30">
        <v>79.0</v>
      </c>
      <c r="BH4" s="31">
        <v>9.0</v>
      </c>
      <c r="BI4" s="24">
        <f t="shared" si="11"/>
        <v>1637</v>
      </c>
      <c r="BJ4" s="30">
        <v>138.0</v>
      </c>
      <c r="BK4" s="30">
        <v>108.0</v>
      </c>
      <c r="BL4" s="30">
        <v>95.0</v>
      </c>
      <c r="BM4" s="30">
        <v>58.0</v>
      </c>
      <c r="BN4" s="30">
        <v>171.0</v>
      </c>
      <c r="BO4" s="30">
        <v>4.0</v>
      </c>
      <c r="BP4" s="31">
        <v>1063.0</v>
      </c>
      <c r="BQ4" s="24">
        <f t="shared" si="12"/>
        <v>1637</v>
      </c>
      <c r="BR4" s="107">
        <v>170.0</v>
      </c>
      <c r="BS4" s="107">
        <v>40.0</v>
      </c>
      <c r="BT4" s="107">
        <v>2871.0</v>
      </c>
      <c r="BU4" s="107">
        <f t="shared" si="13"/>
        <v>3081</v>
      </c>
    </row>
    <row r="5" ht="21.0" customHeight="1">
      <c r="A5" s="24" t="s">
        <v>72</v>
      </c>
      <c r="B5" s="33">
        <v>1713.0</v>
      </c>
      <c r="C5" s="30">
        <v>93.0</v>
      </c>
      <c r="D5" s="31">
        <v>33.0</v>
      </c>
      <c r="E5" s="28">
        <f t="shared" si="1"/>
        <v>1839</v>
      </c>
      <c r="F5" s="30">
        <v>354.0</v>
      </c>
      <c r="G5" s="30">
        <v>128.0</v>
      </c>
      <c r="H5" s="30">
        <v>140.0</v>
      </c>
      <c r="I5" s="30">
        <v>122.0</v>
      </c>
      <c r="J5" s="30">
        <v>250.0</v>
      </c>
      <c r="K5" s="30">
        <v>391.0</v>
      </c>
      <c r="L5" s="31">
        <v>454.0</v>
      </c>
      <c r="M5" s="24">
        <f t="shared" si="14"/>
        <v>1839</v>
      </c>
      <c r="N5" s="30">
        <v>943.0</v>
      </c>
      <c r="O5" s="31">
        <v>896.0</v>
      </c>
      <c r="P5" s="24">
        <f t="shared" si="2"/>
        <v>1839</v>
      </c>
      <c r="Q5" s="30">
        <v>1612.0</v>
      </c>
      <c r="R5" s="31">
        <v>227.0</v>
      </c>
      <c r="S5" s="24">
        <f t="shared" si="3"/>
        <v>1839</v>
      </c>
      <c r="T5" s="30">
        <v>1270.0</v>
      </c>
      <c r="U5" s="30">
        <v>1644.0</v>
      </c>
      <c r="V5" s="30">
        <v>3.0</v>
      </c>
      <c r="W5" s="30">
        <v>731.0</v>
      </c>
      <c r="X5" s="30">
        <v>42.0</v>
      </c>
      <c r="Y5" s="30">
        <v>8.0</v>
      </c>
      <c r="Z5" s="31">
        <v>6.0</v>
      </c>
      <c r="AA5" s="24">
        <f t="shared" si="4"/>
        <v>3704</v>
      </c>
      <c r="AB5" s="30">
        <v>273.0</v>
      </c>
      <c r="AC5" s="30">
        <v>739.0</v>
      </c>
      <c r="AD5" s="30">
        <v>1165.0</v>
      </c>
      <c r="AE5" s="30">
        <v>1137.0</v>
      </c>
      <c r="AF5" s="30">
        <v>390.0</v>
      </c>
      <c r="AG5" s="24">
        <f t="shared" si="5"/>
        <v>3704</v>
      </c>
      <c r="AH5" s="30">
        <v>2217.0</v>
      </c>
      <c r="AI5" s="30">
        <v>1487.0</v>
      </c>
      <c r="AJ5" s="24">
        <f t="shared" si="6"/>
        <v>3704</v>
      </c>
      <c r="AK5" s="30">
        <v>2296.0</v>
      </c>
      <c r="AL5" s="30">
        <v>1408.0</v>
      </c>
      <c r="AM5" s="24">
        <f t="shared" si="7"/>
        <v>3704</v>
      </c>
      <c r="AN5" s="30">
        <v>3666.0</v>
      </c>
      <c r="AO5" s="31">
        <v>38.0</v>
      </c>
      <c r="AP5" s="24">
        <f t="shared" si="8"/>
        <v>3704</v>
      </c>
      <c r="AQ5" s="30">
        <v>2848.0</v>
      </c>
      <c r="AR5" s="30">
        <v>617.0</v>
      </c>
      <c r="AS5" s="30">
        <v>0.0</v>
      </c>
      <c r="AT5" s="30">
        <v>0.0</v>
      </c>
      <c r="AU5" s="31">
        <v>239.0</v>
      </c>
      <c r="AV5" s="24">
        <f t="shared" si="15"/>
        <v>3704</v>
      </c>
      <c r="AW5" s="29">
        <f t="shared" si="9"/>
        <v>239</v>
      </c>
      <c r="AX5" s="30">
        <v>3042.0</v>
      </c>
      <c r="AY5" s="31">
        <v>423.0</v>
      </c>
      <c r="AZ5" s="24">
        <f t="shared" si="10"/>
        <v>3704</v>
      </c>
      <c r="BA5" s="30">
        <v>1716.0</v>
      </c>
      <c r="BB5" s="30">
        <v>0.0</v>
      </c>
      <c r="BC5" s="30">
        <v>27.0</v>
      </c>
      <c r="BD5" s="30">
        <v>0.0</v>
      </c>
      <c r="BE5" s="30">
        <v>3.0</v>
      </c>
      <c r="BF5" s="30">
        <v>67.0</v>
      </c>
      <c r="BG5" s="30">
        <v>20.0</v>
      </c>
      <c r="BH5" s="31">
        <v>6.0</v>
      </c>
      <c r="BI5" s="24">
        <f t="shared" si="11"/>
        <v>1839</v>
      </c>
      <c r="BJ5" s="30">
        <v>66.0</v>
      </c>
      <c r="BK5" s="30">
        <v>16.0</v>
      </c>
      <c r="BL5" s="30">
        <v>393.0</v>
      </c>
      <c r="BM5" s="30">
        <v>4.0</v>
      </c>
      <c r="BN5" s="30">
        <v>790.0</v>
      </c>
      <c r="BO5" s="30">
        <v>0.0</v>
      </c>
      <c r="BP5" s="31">
        <v>570.0</v>
      </c>
      <c r="BQ5" s="24">
        <f t="shared" si="12"/>
        <v>1839</v>
      </c>
      <c r="BR5" s="107">
        <v>118.0</v>
      </c>
      <c r="BS5" s="107">
        <v>53.0</v>
      </c>
      <c r="BT5" s="107">
        <v>4768.0</v>
      </c>
      <c r="BU5" s="107">
        <f t="shared" si="13"/>
        <v>4939</v>
      </c>
    </row>
    <row r="6" ht="21.0" customHeight="1">
      <c r="A6" s="34" t="s">
        <v>73</v>
      </c>
      <c r="B6" s="33">
        <v>1737.0</v>
      </c>
      <c r="C6" s="30">
        <v>81.0</v>
      </c>
      <c r="D6" s="31">
        <v>22.0</v>
      </c>
      <c r="E6" s="28">
        <f t="shared" si="1"/>
        <v>1840</v>
      </c>
      <c r="F6" s="30">
        <v>269.0</v>
      </c>
      <c r="G6" s="30">
        <v>255.0</v>
      </c>
      <c r="H6" s="30">
        <v>300.0</v>
      </c>
      <c r="I6" s="30">
        <v>289.0</v>
      </c>
      <c r="J6" s="30">
        <v>207.0</v>
      </c>
      <c r="K6" s="30">
        <v>327.0</v>
      </c>
      <c r="L6" s="31">
        <v>193.0</v>
      </c>
      <c r="M6" s="24">
        <f t="shared" si="14"/>
        <v>1840</v>
      </c>
      <c r="N6" s="30">
        <v>1146.0</v>
      </c>
      <c r="O6" s="31">
        <v>694.0</v>
      </c>
      <c r="P6" s="24">
        <f t="shared" si="2"/>
        <v>1840</v>
      </c>
      <c r="Q6" s="30">
        <v>1672.0</v>
      </c>
      <c r="R6" s="31">
        <v>168.0</v>
      </c>
      <c r="S6" s="24">
        <f t="shared" si="3"/>
        <v>1840</v>
      </c>
      <c r="T6" s="30">
        <v>984.0</v>
      </c>
      <c r="U6" s="30">
        <v>655.0</v>
      </c>
      <c r="V6" s="30">
        <v>2.0</v>
      </c>
      <c r="W6" s="30">
        <v>635.0</v>
      </c>
      <c r="X6" s="30">
        <v>55.0</v>
      </c>
      <c r="Y6" s="30">
        <v>7.0</v>
      </c>
      <c r="Z6" s="31">
        <v>13.0</v>
      </c>
      <c r="AA6" s="24">
        <f t="shared" si="4"/>
        <v>2351</v>
      </c>
      <c r="AB6" s="30">
        <v>303.0</v>
      </c>
      <c r="AC6" s="30">
        <v>726.0</v>
      </c>
      <c r="AD6" s="30">
        <v>392.0</v>
      </c>
      <c r="AE6" s="30">
        <v>555.0</v>
      </c>
      <c r="AF6" s="30">
        <v>375.0</v>
      </c>
      <c r="AG6" s="24">
        <f t="shared" si="5"/>
        <v>2351</v>
      </c>
      <c r="AH6" s="30">
        <v>1491.0</v>
      </c>
      <c r="AI6" s="30">
        <v>860.0</v>
      </c>
      <c r="AJ6" s="24">
        <f t="shared" si="6"/>
        <v>2351</v>
      </c>
      <c r="AK6" s="30">
        <v>1342.0</v>
      </c>
      <c r="AL6" s="30">
        <v>1009.0</v>
      </c>
      <c r="AM6" s="24">
        <f t="shared" si="7"/>
        <v>2351</v>
      </c>
      <c r="AN6" s="30">
        <v>2313.0</v>
      </c>
      <c r="AO6" s="31">
        <v>38.0</v>
      </c>
      <c r="AP6" s="24">
        <f t="shared" si="8"/>
        <v>2351</v>
      </c>
      <c r="AQ6" s="30">
        <v>2003.0</v>
      </c>
      <c r="AR6" s="30">
        <v>178.0</v>
      </c>
      <c r="AS6" s="30">
        <v>0.0</v>
      </c>
      <c r="AT6" s="30">
        <v>0.0</v>
      </c>
      <c r="AU6" s="31">
        <v>170.0</v>
      </c>
      <c r="AV6" s="24">
        <f t="shared" si="15"/>
        <v>2351</v>
      </c>
      <c r="AW6" s="29">
        <f t="shared" si="9"/>
        <v>170</v>
      </c>
      <c r="AX6" s="30">
        <v>1900.0</v>
      </c>
      <c r="AY6" s="31">
        <v>281.0</v>
      </c>
      <c r="AZ6" s="24">
        <f t="shared" si="10"/>
        <v>2351</v>
      </c>
      <c r="BA6" s="30">
        <v>1689.0</v>
      </c>
      <c r="BB6" s="30">
        <v>0.0</v>
      </c>
      <c r="BC6" s="30">
        <v>25.0</v>
      </c>
      <c r="BD6" s="30">
        <v>0.0</v>
      </c>
      <c r="BE6" s="30">
        <v>2.0</v>
      </c>
      <c r="BF6" s="30">
        <v>84.0</v>
      </c>
      <c r="BG6" s="30">
        <v>19.0</v>
      </c>
      <c r="BH6" s="31">
        <v>21.0</v>
      </c>
      <c r="BI6" s="24">
        <f t="shared" si="11"/>
        <v>1840</v>
      </c>
      <c r="BJ6" s="30">
        <v>536.0</v>
      </c>
      <c r="BK6" s="30">
        <v>175.0</v>
      </c>
      <c r="BL6" s="30">
        <v>23.0</v>
      </c>
      <c r="BM6" s="30">
        <v>3.0</v>
      </c>
      <c r="BN6" s="30">
        <v>861.0</v>
      </c>
      <c r="BO6" s="30">
        <v>0.0</v>
      </c>
      <c r="BP6" s="31">
        <v>242.0</v>
      </c>
      <c r="BQ6" s="24">
        <f t="shared" si="12"/>
        <v>1840</v>
      </c>
      <c r="BR6" s="107">
        <v>148.0</v>
      </c>
      <c r="BS6" s="107">
        <v>27.0</v>
      </c>
      <c r="BT6" s="107">
        <v>3501.0</v>
      </c>
      <c r="BU6" s="107">
        <f t="shared" si="13"/>
        <v>3676</v>
      </c>
    </row>
    <row r="7" ht="21.0" customHeight="1">
      <c r="A7" s="34" t="s">
        <v>74</v>
      </c>
      <c r="B7" s="33">
        <v>1579.0</v>
      </c>
      <c r="C7" s="30">
        <v>82.0</v>
      </c>
      <c r="D7" s="31">
        <v>21.0</v>
      </c>
      <c r="E7" s="28">
        <f t="shared" si="1"/>
        <v>1682</v>
      </c>
      <c r="F7" s="30">
        <v>246.0</v>
      </c>
      <c r="G7" s="30">
        <v>254.0</v>
      </c>
      <c r="H7" s="30">
        <v>206.0</v>
      </c>
      <c r="I7" s="30">
        <v>133.0</v>
      </c>
      <c r="J7" s="30">
        <v>130.0</v>
      </c>
      <c r="K7" s="30">
        <v>361.0</v>
      </c>
      <c r="L7" s="31">
        <v>352.0</v>
      </c>
      <c r="M7" s="24">
        <f t="shared" si="14"/>
        <v>1682</v>
      </c>
      <c r="N7" s="30">
        <v>804.0</v>
      </c>
      <c r="O7" s="31">
        <v>878.0</v>
      </c>
      <c r="P7" s="24">
        <f t="shared" si="2"/>
        <v>1682</v>
      </c>
      <c r="Q7" s="30">
        <v>1491.0</v>
      </c>
      <c r="R7" s="31">
        <v>191.0</v>
      </c>
      <c r="S7" s="24">
        <f t="shared" si="3"/>
        <v>1682</v>
      </c>
      <c r="T7" s="30">
        <v>1183.0</v>
      </c>
      <c r="U7" s="30">
        <v>1105.0</v>
      </c>
      <c r="V7" s="30">
        <v>2.0</v>
      </c>
      <c r="W7" s="30">
        <v>709.0</v>
      </c>
      <c r="X7" s="30">
        <v>35.0</v>
      </c>
      <c r="Y7" s="30">
        <v>2.0</v>
      </c>
      <c r="Z7" s="31">
        <v>3043.0</v>
      </c>
      <c r="AA7" s="24">
        <f t="shared" si="4"/>
        <v>6079</v>
      </c>
      <c r="AB7" s="30">
        <v>546.0</v>
      </c>
      <c r="AC7" s="30">
        <v>916.0</v>
      </c>
      <c r="AD7" s="30">
        <v>672.0</v>
      </c>
      <c r="AE7" s="30">
        <v>581.0</v>
      </c>
      <c r="AF7" s="30">
        <v>328.0</v>
      </c>
      <c r="AG7" s="24">
        <f t="shared" si="5"/>
        <v>3043</v>
      </c>
      <c r="AH7" s="30">
        <v>1237.0</v>
      </c>
      <c r="AI7" s="30">
        <v>1806.0</v>
      </c>
      <c r="AJ7" s="24">
        <f t="shared" si="6"/>
        <v>3043</v>
      </c>
      <c r="AK7" s="30">
        <v>2270.0</v>
      </c>
      <c r="AL7" s="30">
        <v>773.0</v>
      </c>
      <c r="AM7" s="24">
        <f t="shared" si="7"/>
        <v>3043</v>
      </c>
      <c r="AN7" s="30">
        <v>2991.0</v>
      </c>
      <c r="AO7" s="31">
        <v>52.0</v>
      </c>
      <c r="AP7" s="24">
        <f t="shared" si="8"/>
        <v>3043</v>
      </c>
      <c r="AQ7" s="30">
        <v>1875.0</v>
      </c>
      <c r="AR7" s="30">
        <v>897.0</v>
      </c>
      <c r="AS7" s="30">
        <v>0.0</v>
      </c>
      <c r="AT7" s="30">
        <v>0.0</v>
      </c>
      <c r="AU7" s="31">
        <v>271.0</v>
      </c>
      <c r="AV7" s="24">
        <f t="shared" si="15"/>
        <v>3043</v>
      </c>
      <c r="AW7" s="29">
        <f t="shared" si="9"/>
        <v>271</v>
      </c>
      <c r="AX7" s="30">
        <v>2204.0</v>
      </c>
      <c r="AY7" s="31">
        <v>568.0</v>
      </c>
      <c r="AZ7" s="24">
        <f t="shared" si="10"/>
        <v>3043</v>
      </c>
      <c r="BA7" s="30">
        <v>1568.0</v>
      </c>
      <c r="BB7" s="30">
        <v>0.0</v>
      </c>
      <c r="BC7" s="30">
        <v>28.0</v>
      </c>
      <c r="BD7" s="30">
        <v>0.0</v>
      </c>
      <c r="BE7" s="30">
        <v>1.0</v>
      </c>
      <c r="BF7" s="30">
        <v>58.0</v>
      </c>
      <c r="BG7" s="30">
        <v>23.0</v>
      </c>
      <c r="BH7" s="31">
        <v>4.0</v>
      </c>
      <c r="BI7" s="24">
        <f t="shared" si="11"/>
        <v>1682</v>
      </c>
      <c r="BJ7" s="30">
        <v>237.0</v>
      </c>
      <c r="BK7" s="30">
        <v>200.0</v>
      </c>
      <c r="BL7" s="30">
        <v>237.0</v>
      </c>
      <c r="BM7" s="30">
        <v>1.0</v>
      </c>
      <c r="BN7" s="30">
        <v>850.0</v>
      </c>
      <c r="BO7" s="30">
        <v>0.0</v>
      </c>
      <c r="BP7" s="31">
        <v>157.0</v>
      </c>
      <c r="BQ7" s="24">
        <f t="shared" si="12"/>
        <v>1682</v>
      </c>
      <c r="BR7" s="107">
        <v>121.0</v>
      </c>
      <c r="BS7" s="107">
        <v>27.0</v>
      </c>
      <c r="BT7" s="107">
        <v>3875.0</v>
      </c>
      <c r="BU7" s="107">
        <f t="shared" si="13"/>
        <v>4023</v>
      </c>
    </row>
    <row r="8" ht="21.0" customHeight="1">
      <c r="A8" s="24" t="s">
        <v>75</v>
      </c>
      <c r="B8" s="33">
        <v>1095.0</v>
      </c>
      <c r="C8" s="30">
        <v>71.0</v>
      </c>
      <c r="D8" s="31">
        <v>16.0</v>
      </c>
      <c r="E8" s="28">
        <f t="shared" si="1"/>
        <v>1182</v>
      </c>
      <c r="F8" s="30">
        <v>146.0</v>
      </c>
      <c r="G8" s="30">
        <v>154.0</v>
      </c>
      <c r="H8" s="30">
        <v>146.0</v>
      </c>
      <c r="I8" s="30">
        <v>111.0</v>
      </c>
      <c r="J8" s="30">
        <v>112.0</v>
      </c>
      <c r="K8" s="30">
        <v>261.0</v>
      </c>
      <c r="L8" s="31">
        <v>252.0</v>
      </c>
      <c r="M8" s="24">
        <f t="shared" si="14"/>
        <v>1182</v>
      </c>
      <c r="N8" s="30">
        <v>659.0</v>
      </c>
      <c r="O8" s="31">
        <v>523.0</v>
      </c>
      <c r="P8" s="24">
        <f t="shared" si="2"/>
        <v>1182</v>
      </c>
      <c r="Q8" s="30">
        <v>975.0</v>
      </c>
      <c r="R8" s="31">
        <v>207.0</v>
      </c>
      <c r="S8" s="24">
        <f t="shared" si="3"/>
        <v>1182</v>
      </c>
      <c r="T8" s="30">
        <v>665.0</v>
      </c>
      <c r="U8" s="30">
        <v>556.0</v>
      </c>
      <c r="V8" s="30">
        <v>3.0</v>
      </c>
      <c r="W8" s="30">
        <v>605.0</v>
      </c>
      <c r="X8" s="30">
        <v>24.0</v>
      </c>
      <c r="Y8" s="30">
        <v>11.0</v>
      </c>
      <c r="Z8" s="31">
        <v>0.0</v>
      </c>
      <c r="AA8" s="24">
        <f t="shared" si="4"/>
        <v>1864</v>
      </c>
      <c r="AB8" s="30">
        <v>258.0</v>
      </c>
      <c r="AC8" s="30">
        <v>811.0</v>
      </c>
      <c r="AD8" s="30">
        <v>457.0</v>
      </c>
      <c r="AE8" s="30">
        <v>228.0</v>
      </c>
      <c r="AF8" s="30">
        <v>110.0</v>
      </c>
      <c r="AG8" s="24">
        <f t="shared" si="5"/>
        <v>1864</v>
      </c>
      <c r="AH8" s="30">
        <v>1069.0</v>
      </c>
      <c r="AI8" s="30">
        <v>795.0</v>
      </c>
      <c r="AJ8" s="24">
        <f t="shared" si="6"/>
        <v>1864</v>
      </c>
      <c r="AK8" s="30">
        <v>1351.0</v>
      </c>
      <c r="AL8" s="30">
        <v>513.0</v>
      </c>
      <c r="AM8" s="24">
        <f t="shared" si="7"/>
        <v>1864</v>
      </c>
      <c r="AN8" s="30">
        <v>1844.0</v>
      </c>
      <c r="AO8" s="31">
        <v>20.0</v>
      </c>
      <c r="AP8" s="24">
        <f t="shared" si="8"/>
        <v>1864</v>
      </c>
      <c r="AQ8" s="30">
        <v>1155.0</v>
      </c>
      <c r="AR8" s="30">
        <v>566.0</v>
      </c>
      <c r="AS8" s="30">
        <v>0.0</v>
      </c>
      <c r="AT8" s="30">
        <v>0.0</v>
      </c>
      <c r="AU8" s="31">
        <v>143.0</v>
      </c>
      <c r="AV8" s="24">
        <f t="shared" si="15"/>
        <v>1864</v>
      </c>
      <c r="AW8" s="29">
        <f t="shared" si="9"/>
        <v>143</v>
      </c>
      <c r="AX8" s="30">
        <v>987.0</v>
      </c>
      <c r="AY8" s="31">
        <v>734.0</v>
      </c>
      <c r="AZ8" s="24">
        <f t="shared" si="10"/>
        <v>1864</v>
      </c>
      <c r="BA8" s="30">
        <v>1062.0</v>
      </c>
      <c r="BB8" s="30">
        <v>0.0</v>
      </c>
      <c r="BC8" s="30">
        <v>19.0</v>
      </c>
      <c r="BD8" s="30">
        <v>0.0</v>
      </c>
      <c r="BE8" s="30">
        <v>0.0</v>
      </c>
      <c r="BF8" s="30">
        <v>47.0</v>
      </c>
      <c r="BG8" s="30">
        <v>30.0</v>
      </c>
      <c r="BH8" s="31">
        <v>24.0</v>
      </c>
      <c r="BI8" s="24">
        <f t="shared" si="11"/>
        <v>1182</v>
      </c>
      <c r="BJ8" s="30">
        <v>301.0</v>
      </c>
      <c r="BK8" s="30">
        <v>142.0</v>
      </c>
      <c r="BL8" s="30">
        <v>132.0</v>
      </c>
      <c r="BM8" s="30">
        <v>5.0</v>
      </c>
      <c r="BN8" s="30">
        <v>510.0</v>
      </c>
      <c r="BO8" s="30">
        <v>1.0</v>
      </c>
      <c r="BP8" s="31">
        <v>91.0</v>
      </c>
      <c r="BQ8" s="24">
        <f t="shared" si="12"/>
        <v>1182</v>
      </c>
      <c r="BR8" s="107">
        <v>123.0</v>
      </c>
      <c r="BS8" s="107">
        <v>28.0</v>
      </c>
      <c r="BT8" s="107">
        <v>3359.0</v>
      </c>
      <c r="BU8" s="107">
        <f t="shared" si="13"/>
        <v>3510</v>
      </c>
    </row>
    <row r="9" ht="21.0" customHeight="1">
      <c r="A9" s="24" t="s">
        <v>76</v>
      </c>
      <c r="B9" s="33">
        <v>845.0</v>
      </c>
      <c r="C9" s="30">
        <v>133.0</v>
      </c>
      <c r="D9" s="31">
        <v>29.0</v>
      </c>
      <c r="E9" s="28">
        <f t="shared" si="1"/>
        <v>1007</v>
      </c>
      <c r="F9" s="30">
        <v>137.0</v>
      </c>
      <c r="G9" s="30">
        <v>127.0</v>
      </c>
      <c r="H9" s="30">
        <v>133.0</v>
      </c>
      <c r="I9" s="30">
        <v>166.0</v>
      </c>
      <c r="J9" s="30">
        <v>176.0</v>
      </c>
      <c r="K9" s="30">
        <v>168.0</v>
      </c>
      <c r="L9" s="31">
        <v>100.0</v>
      </c>
      <c r="M9" s="24">
        <f t="shared" si="14"/>
        <v>1007</v>
      </c>
      <c r="N9" s="30">
        <v>499.0</v>
      </c>
      <c r="O9" s="31">
        <v>508.0</v>
      </c>
      <c r="P9" s="24">
        <f t="shared" si="2"/>
        <v>1007</v>
      </c>
      <c r="Q9" s="30">
        <v>766.0</v>
      </c>
      <c r="R9" s="31">
        <v>241.0</v>
      </c>
      <c r="S9" s="24">
        <f t="shared" si="3"/>
        <v>1007</v>
      </c>
      <c r="T9" s="30">
        <v>602.0</v>
      </c>
      <c r="U9" s="30">
        <v>213.0</v>
      </c>
      <c r="V9" s="30">
        <v>18.0</v>
      </c>
      <c r="W9" s="30">
        <v>263.0</v>
      </c>
      <c r="X9" s="30">
        <v>352.0</v>
      </c>
      <c r="Y9" s="30">
        <v>6.0</v>
      </c>
      <c r="Z9" s="31">
        <v>35.0</v>
      </c>
      <c r="AA9" s="24">
        <f t="shared" si="4"/>
        <v>1489</v>
      </c>
      <c r="AB9" s="30">
        <v>182.0</v>
      </c>
      <c r="AC9" s="30">
        <v>807.0</v>
      </c>
      <c r="AD9" s="30">
        <v>311.0</v>
      </c>
      <c r="AE9" s="30">
        <v>105.0</v>
      </c>
      <c r="AF9" s="30">
        <v>84.0</v>
      </c>
      <c r="AG9" s="24">
        <f t="shared" si="5"/>
        <v>1489</v>
      </c>
      <c r="AH9" s="30">
        <v>1100.0</v>
      </c>
      <c r="AI9" s="30">
        <v>389.0</v>
      </c>
      <c r="AJ9" s="24">
        <f t="shared" si="6"/>
        <v>1489</v>
      </c>
      <c r="AK9" s="30">
        <v>971.0</v>
      </c>
      <c r="AL9" s="30">
        <v>518.0</v>
      </c>
      <c r="AM9" s="24">
        <f t="shared" si="7"/>
        <v>1489</v>
      </c>
      <c r="AN9" s="30">
        <v>1405.0</v>
      </c>
      <c r="AO9" s="31">
        <v>84.0</v>
      </c>
      <c r="AP9" s="24">
        <f t="shared" si="8"/>
        <v>1489</v>
      </c>
      <c r="AQ9" s="30">
        <v>984.0</v>
      </c>
      <c r="AR9" s="30">
        <v>91.0</v>
      </c>
      <c r="AS9" s="30">
        <v>1.0</v>
      </c>
      <c r="AT9" s="30">
        <v>0.0</v>
      </c>
      <c r="AU9" s="31">
        <v>413.0</v>
      </c>
      <c r="AV9" s="24">
        <f t="shared" si="15"/>
        <v>1489</v>
      </c>
      <c r="AW9" s="29">
        <f t="shared" si="9"/>
        <v>413</v>
      </c>
      <c r="AX9" s="30">
        <v>855.0</v>
      </c>
      <c r="AY9" s="31">
        <v>221.0</v>
      </c>
      <c r="AZ9" s="24">
        <f t="shared" si="10"/>
        <v>1489</v>
      </c>
      <c r="BA9" s="30">
        <v>770.0</v>
      </c>
      <c r="BB9" s="30">
        <v>0.0</v>
      </c>
      <c r="BC9" s="30">
        <v>24.0</v>
      </c>
      <c r="BD9" s="30">
        <v>0.0</v>
      </c>
      <c r="BE9" s="30">
        <v>1.0</v>
      </c>
      <c r="BF9" s="30">
        <v>136.0</v>
      </c>
      <c r="BG9" s="30">
        <v>49.0</v>
      </c>
      <c r="BH9" s="31">
        <v>27.0</v>
      </c>
      <c r="BI9" s="24">
        <f t="shared" si="11"/>
        <v>1007</v>
      </c>
      <c r="BJ9" s="30">
        <v>48.0</v>
      </c>
      <c r="BK9" s="30">
        <v>216.0</v>
      </c>
      <c r="BL9" s="30">
        <v>46.0</v>
      </c>
      <c r="BM9" s="30">
        <v>16.0</v>
      </c>
      <c r="BN9" s="30">
        <v>472.0</v>
      </c>
      <c r="BO9" s="30">
        <v>2.0</v>
      </c>
      <c r="BP9" s="31">
        <v>207.0</v>
      </c>
      <c r="BQ9" s="24">
        <f t="shared" si="12"/>
        <v>1007</v>
      </c>
      <c r="BR9" s="107">
        <v>159.0</v>
      </c>
      <c r="BS9" s="107">
        <v>26.0</v>
      </c>
      <c r="BT9" s="107">
        <v>2248.0</v>
      </c>
      <c r="BU9" s="107">
        <f t="shared" si="13"/>
        <v>2433</v>
      </c>
    </row>
    <row r="10" ht="21.0" customHeight="1">
      <c r="A10" s="24" t="s">
        <v>77</v>
      </c>
      <c r="B10" s="33">
        <v>702.0</v>
      </c>
      <c r="C10" s="30">
        <v>121.0</v>
      </c>
      <c r="D10" s="31">
        <v>24.0</v>
      </c>
      <c r="E10" s="28">
        <f t="shared" si="1"/>
        <v>847</v>
      </c>
      <c r="F10" s="30">
        <v>125.0</v>
      </c>
      <c r="G10" s="30">
        <v>119.0</v>
      </c>
      <c r="H10" s="30">
        <v>87.0</v>
      </c>
      <c r="I10" s="30">
        <v>158.0</v>
      </c>
      <c r="J10" s="30">
        <v>163.0</v>
      </c>
      <c r="K10" s="30">
        <v>161.0</v>
      </c>
      <c r="L10" s="31">
        <v>34.0</v>
      </c>
      <c r="M10" s="24">
        <f t="shared" si="14"/>
        <v>847</v>
      </c>
      <c r="N10" s="30">
        <v>285.0</v>
      </c>
      <c r="O10" s="31">
        <v>562.0</v>
      </c>
      <c r="P10" s="24">
        <f t="shared" si="2"/>
        <v>847</v>
      </c>
      <c r="Q10" s="30">
        <v>660.0</v>
      </c>
      <c r="R10" s="31">
        <v>187.0</v>
      </c>
      <c r="S10" s="24">
        <f t="shared" si="3"/>
        <v>847</v>
      </c>
      <c r="T10" s="30">
        <v>532.0</v>
      </c>
      <c r="U10" s="30">
        <v>164.0</v>
      </c>
      <c r="V10" s="30">
        <v>9.0</v>
      </c>
      <c r="W10" s="30">
        <v>211.0</v>
      </c>
      <c r="X10" s="30">
        <v>363.0</v>
      </c>
      <c r="Y10" s="30">
        <v>2.0</v>
      </c>
      <c r="Z10" s="31">
        <v>23.0</v>
      </c>
      <c r="AA10" s="24">
        <f t="shared" si="4"/>
        <v>1304</v>
      </c>
      <c r="AB10" s="30">
        <v>182.0</v>
      </c>
      <c r="AC10" s="30">
        <v>807.0</v>
      </c>
      <c r="AD10" s="30">
        <v>311.0</v>
      </c>
      <c r="AE10" s="30">
        <v>105.0</v>
      </c>
      <c r="AF10" s="30">
        <v>84.0</v>
      </c>
      <c r="AG10" s="24">
        <f t="shared" si="5"/>
        <v>1489</v>
      </c>
      <c r="AH10" s="30">
        <v>1100.0</v>
      </c>
      <c r="AI10" s="30">
        <v>389.0</v>
      </c>
      <c r="AJ10" s="24">
        <f t="shared" si="6"/>
        <v>1489</v>
      </c>
      <c r="AK10" s="30">
        <v>971.0</v>
      </c>
      <c r="AL10" s="30">
        <v>518.0</v>
      </c>
      <c r="AM10" s="24">
        <f t="shared" si="7"/>
        <v>1489</v>
      </c>
      <c r="AN10" s="30">
        <v>1405.0</v>
      </c>
      <c r="AO10" s="31">
        <v>84.0</v>
      </c>
      <c r="AP10" s="24">
        <f t="shared" si="8"/>
        <v>1489</v>
      </c>
      <c r="AQ10" s="30">
        <v>891.0</v>
      </c>
      <c r="AR10" s="30">
        <v>105.0</v>
      </c>
      <c r="AS10" s="30">
        <v>0.0</v>
      </c>
      <c r="AT10" s="30">
        <v>0.0</v>
      </c>
      <c r="AU10" s="31">
        <v>493.0</v>
      </c>
      <c r="AV10" s="24">
        <f t="shared" si="15"/>
        <v>1489</v>
      </c>
      <c r="AW10" s="29">
        <f t="shared" si="9"/>
        <v>493</v>
      </c>
      <c r="AX10" s="30">
        <v>797.0</v>
      </c>
      <c r="AY10" s="31">
        <v>199.0</v>
      </c>
      <c r="AZ10" s="24">
        <f t="shared" si="10"/>
        <v>1489</v>
      </c>
      <c r="BA10" s="30">
        <v>644.0</v>
      </c>
      <c r="BB10" s="30">
        <v>0.0</v>
      </c>
      <c r="BC10" s="30">
        <v>17.0</v>
      </c>
      <c r="BD10" s="30">
        <v>0.0</v>
      </c>
      <c r="BE10" s="30">
        <v>0.0</v>
      </c>
      <c r="BF10" s="30">
        <v>122.0</v>
      </c>
      <c r="BG10" s="30">
        <v>37.0</v>
      </c>
      <c r="BH10" s="31">
        <v>27.0</v>
      </c>
      <c r="BI10" s="24">
        <f t="shared" si="11"/>
        <v>847</v>
      </c>
      <c r="BJ10" s="30">
        <v>61.0</v>
      </c>
      <c r="BK10" s="30">
        <v>302.0</v>
      </c>
      <c r="BL10" s="30">
        <v>39.0</v>
      </c>
      <c r="BM10" s="30">
        <v>12.0</v>
      </c>
      <c r="BN10" s="30">
        <v>261.0</v>
      </c>
      <c r="BO10" s="30">
        <v>0.0</v>
      </c>
      <c r="BP10" s="31">
        <v>172.0</v>
      </c>
      <c r="BQ10" s="24">
        <f t="shared" si="12"/>
        <v>847</v>
      </c>
      <c r="BR10" s="107">
        <v>129.0</v>
      </c>
      <c r="BS10" s="107">
        <v>36.0</v>
      </c>
      <c r="BT10" s="107">
        <v>1943.0</v>
      </c>
      <c r="BU10" s="107">
        <f t="shared" si="13"/>
        <v>2108</v>
      </c>
    </row>
    <row r="11" ht="21.0" customHeight="1">
      <c r="A11" s="24" t="s">
        <v>78</v>
      </c>
      <c r="B11" s="33">
        <v>931.0</v>
      </c>
      <c r="C11" s="30">
        <v>89.0</v>
      </c>
      <c r="D11" s="31">
        <v>17.0</v>
      </c>
      <c r="E11" s="28">
        <f t="shared" si="1"/>
        <v>1037</v>
      </c>
      <c r="F11" s="30">
        <v>181.0</v>
      </c>
      <c r="G11" s="30">
        <v>128.0</v>
      </c>
      <c r="H11" s="30">
        <v>156.0</v>
      </c>
      <c r="I11" s="30">
        <v>132.0</v>
      </c>
      <c r="J11" s="30">
        <v>109.0</v>
      </c>
      <c r="K11" s="30">
        <v>194.0</v>
      </c>
      <c r="L11" s="31">
        <v>137.0</v>
      </c>
      <c r="M11" s="24">
        <f t="shared" si="14"/>
        <v>1037</v>
      </c>
      <c r="N11" s="30">
        <v>565.0</v>
      </c>
      <c r="O11" s="31">
        <v>472.0</v>
      </c>
      <c r="P11" s="24">
        <f t="shared" si="2"/>
        <v>1037</v>
      </c>
      <c r="Q11" s="30">
        <v>801.0</v>
      </c>
      <c r="R11" s="31">
        <v>236.0</v>
      </c>
      <c r="S11" s="24">
        <f t="shared" si="3"/>
        <v>1037</v>
      </c>
      <c r="T11" s="30">
        <v>796.0</v>
      </c>
      <c r="U11" s="30">
        <v>201.0</v>
      </c>
      <c r="V11" s="30">
        <v>0.0</v>
      </c>
      <c r="W11" s="30">
        <v>225.0</v>
      </c>
      <c r="X11" s="30">
        <v>407.0</v>
      </c>
      <c r="Y11" s="30">
        <v>0.0</v>
      </c>
      <c r="Z11" s="31">
        <v>8.0</v>
      </c>
      <c r="AA11" s="24">
        <f t="shared" si="4"/>
        <v>1637</v>
      </c>
      <c r="AB11" s="30">
        <v>105.0</v>
      </c>
      <c r="AC11" s="30">
        <v>605.0</v>
      </c>
      <c r="AD11" s="30">
        <v>455.0</v>
      </c>
      <c r="AE11" s="30">
        <v>467.0</v>
      </c>
      <c r="AF11" s="30">
        <v>219.0</v>
      </c>
      <c r="AG11" s="24">
        <f t="shared" si="5"/>
        <v>1851</v>
      </c>
      <c r="AH11" s="30">
        <v>1360.0</v>
      </c>
      <c r="AI11" s="30">
        <v>491.0</v>
      </c>
      <c r="AJ11" s="24">
        <f t="shared" si="6"/>
        <v>1851</v>
      </c>
      <c r="AK11" s="30">
        <v>1295.0</v>
      </c>
      <c r="AL11" s="30">
        <v>556.0</v>
      </c>
      <c r="AM11" s="24">
        <f t="shared" si="7"/>
        <v>1851</v>
      </c>
      <c r="AN11" s="30">
        <v>1615.0</v>
      </c>
      <c r="AO11" s="31">
        <v>236.0</v>
      </c>
      <c r="AP11" s="24">
        <f t="shared" si="8"/>
        <v>1851</v>
      </c>
      <c r="AQ11" s="30">
        <v>1227.0</v>
      </c>
      <c r="AR11" s="30">
        <v>489.0</v>
      </c>
      <c r="AS11" s="30">
        <v>0.0</v>
      </c>
      <c r="AT11" s="30">
        <v>0.0</v>
      </c>
      <c r="AU11" s="31">
        <v>135.0</v>
      </c>
      <c r="AV11" s="24">
        <f t="shared" si="15"/>
        <v>1851</v>
      </c>
      <c r="AW11" s="29">
        <f t="shared" si="9"/>
        <v>135</v>
      </c>
      <c r="AX11" s="30">
        <v>1407.0</v>
      </c>
      <c r="AY11" s="31">
        <v>309.0</v>
      </c>
      <c r="AZ11" s="24">
        <f t="shared" si="10"/>
        <v>1851</v>
      </c>
      <c r="BA11" s="30">
        <v>745.0</v>
      </c>
      <c r="BB11" s="30">
        <v>0.0</v>
      </c>
      <c r="BC11" s="30">
        <v>27.0</v>
      </c>
      <c r="BD11" s="30">
        <v>0.0</v>
      </c>
      <c r="BE11" s="30">
        <v>0.0</v>
      </c>
      <c r="BF11" s="30">
        <v>93.0</v>
      </c>
      <c r="BG11" s="30">
        <v>147.0</v>
      </c>
      <c r="BH11" s="31">
        <v>25.0</v>
      </c>
      <c r="BI11" s="24">
        <f t="shared" si="11"/>
        <v>1037</v>
      </c>
      <c r="BJ11" s="30">
        <v>51.0</v>
      </c>
      <c r="BK11" s="30">
        <v>220.0</v>
      </c>
      <c r="BL11" s="30">
        <v>49.0</v>
      </c>
      <c r="BM11" s="30">
        <v>13.0</v>
      </c>
      <c r="BN11" s="30">
        <v>501.0</v>
      </c>
      <c r="BO11" s="30">
        <v>0.0</v>
      </c>
      <c r="BP11" s="31">
        <v>203.0</v>
      </c>
      <c r="BQ11" s="24">
        <f t="shared" si="12"/>
        <v>1037</v>
      </c>
      <c r="BR11" s="107">
        <v>118.0</v>
      </c>
      <c r="BS11" s="107">
        <v>23.0</v>
      </c>
      <c r="BT11" s="107">
        <v>2187.0</v>
      </c>
      <c r="BU11" s="107">
        <f t="shared" si="13"/>
        <v>2328</v>
      </c>
    </row>
    <row r="12" ht="21.0" customHeight="1">
      <c r="A12" s="24" t="s">
        <v>79</v>
      </c>
      <c r="B12" s="33">
        <v>811.0</v>
      </c>
      <c r="C12" s="30">
        <v>95.0</v>
      </c>
      <c r="D12" s="31">
        <v>32.0</v>
      </c>
      <c r="E12" s="28">
        <f t="shared" si="1"/>
        <v>938</v>
      </c>
      <c r="F12" s="30">
        <v>162.0</v>
      </c>
      <c r="G12" s="30">
        <v>119.0</v>
      </c>
      <c r="H12" s="30">
        <v>129.0</v>
      </c>
      <c r="I12" s="30">
        <v>135.0</v>
      </c>
      <c r="J12" s="30">
        <v>102.0</v>
      </c>
      <c r="K12" s="30">
        <v>186.0</v>
      </c>
      <c r="L12" s="31">
        <v>105.0</v>
      </c>
      <c r="M12" s="24">
        <f t="shared" si="14"/>
        <v>938</v>
      </c>
      <c r="N12" s="30">
        <v>535.0</v>
      </c>
      <c r="O12" s="31">
        <v>403.0</v>
      </c>
      <c r="P12" s="24">
        <f t="shared" si="2"/>
        <v>938</v>
      </c>
      <c r="Q12" s="30">
        <v>721.0</v>
      </c>
      <c r="R12" s="31">
        <v>217.0</v>
      </c>
      <c r="S12" s="24">
        <f t="shared" si="3"/>
        <v>938</v>
      </c>
      <c r="T12" s="30">
        <v>693.0</v>
      </c>
      <c r="U12" s="30">
        <v>215.0</v>
      </c>
      <c r="V12" s="30">
        <v>0.0</v>
      </c>
      <c r="W12" s="30">
        <v>261.0</v>
      </c>
      <c r="X12" s="30">
        <v>355.0</v>
      </c>
      <c r="Y12" s="30">
        <v>0.0</v>
      </c>
      <c r="Z12" s="31">
        <v>12.0</v>
      </c>
      <c r="AA12" s="24">
        <f t="shared" si="4"/>
        <v>1536</v>
      </c>
      <c r="AB12" s="30">
        <v>89.0</v>
      </c>
      <c r="AC12" s="30">
        <v>583.0</v>
      </c>
      <c r="AD12" s="30">
        <v>436.0</v>
      </c>
      <c r="AE12" s="30">
        <v>399.0</v>
      </c>
      <c r="AF12" s="30">
        <v>258.0</v>
      </c>
      <c r="AG12" s="24">
        <f t="shared" si="5"/>
        <v>1765</v>
      </c>
      <c r="AH12" s="30">
        <v>1294.0</v>
      </c>
      <c r="AI12" s="30">
        <v>471.0</v>
      </c>
      <c r="AJ12" s="24">
        <f t="shared" si="6"/>
        <v>1765</v>
      </c>
      <c r="AK12" s="30">
        <v>1124.0</v>
      </c>
      <c r="AL12" s="30">
        <v>641.0</v>
      </c>
      <c r="AM12" s="24">
        <f t="shared" si="7"/>
        <v>1765</v>
      </c>
      <c r="AN12" s="30">
        <v>1564.0</v>
      </c>
      <c r="AO12" s="31">
        <v>201.0</v>
      </c>
      <c r="AP12" s="24">
        <f t="shared" si="8"/>
        <v>1765</v>
      </c>
      <c r="AQ12" s="30">
        <v>946.0</v>
      </c>
      <c r="AR12" s="30">
        <v>738.0</v>
      </c>
      <c r="AS12" s="30">
        <v>0.0</v>
      </c>
      <c r="AT12" s="30">
        <v>0.0</v>
      </c>
      <c r="AU12" s="31">
        <v>81.0</v>
      </c>
      <c r="AV12" s="24">
        <f t="shared" si="15"/>
        <v>1765</v>
      </c>
      <c r="AW12" s="29">
        <f t="shared" si="9"/>
        <v>81</v>
      </c>
      <c r="AX12" s="30">
        <v>1598.0</v>
      </c>
      <c r="AY12" s="31">
        <v>86.0</v>
      </c>
      <c r="AZ12" s="24">
        <f t="shared" si="10"/>
        <v>1765</v>
      </c>
      <c r="BA12" s="30">
        <v>624.0</v>
      </c>
      <c r="BB12" s="30">
        <v>0.0</v>
      </c>
      <c r="BC12" s="30">
        <v>33.0</v>
      </c>
      <c r="BD12" s="30">
        <v>0.0</v>
      </c>
      <c r="BE12" s="30">
        <v>0.0</v>
      </c>
      <c r="BF12" s="30">
        <v>112.0</v>
      </c>
      <c r="BG12" s="30">
        <v>134.0</v>
      </c>
      <c r="BH12" s="31">
        <v>35.0</v>
      </c>
      <c r="BI12" s="24">
        <f t="shared" si="11"/>
        <v>938</v>
      </c>
      <c r="BJ12" s="30">
        <v>38.0</v>
      </c>
      <c r="BK12" s="30">
        <v>196.0</v>
      </c>
      <c r="BL12" s="30">
        <v>61.0</v>
      </c>
      <c r="BM12" s="30">
        <v>7.0</v>
      </c>
      <c r="BN12" s="30">
        <v>429.0</v>
      </c>
      <c r="BO12" s="30">
        <v>0.0</v>
      </c>
      <c r="BP12" s="31">
        <v>207.0</v>
      </c>
      <c r="BQ12" s="24">
        <f t="shared" si="12"/>
        <v>938</v>
      </c>
      <c r="BR12" s="107">
        <v>143.0</v>
      </c>
      <c r="BS12" s="107">
        <v>51.0</v>
      </c>
      <c r="BT12" s="107">
        <v>2364.0</v>
      </c>
      <c r="BU12" s="107">
        <f t="shared" si="13"/>
        <v>2558</v>
      </c>
    </row>
    <row r="13" ht="21.0" customHeight="1">
      <c r="A13" s="24" t="s">
        <v>80</v>
      </c>
      <c r="B13" s="35">
        <v>898.0</v>
      </c>
      <c r="C13" s="36">
        <v>55.0</v>
      </c>
      <c r="D13" s="37">
        <v>11.0</v>
      </c>
      <c r="E13" s="28">
        <f t="shared" si="1"/>
        <v>964</v>
      </c>
      <c r="F13" s="36">
        <v>110.0</v>
      </c>
      <c r="G13" s="36">
        <v>97.0</v>
      </c>
      <c r="H13" s="36">
        <v>100.0</v>
      </c>
      <c r="I13" s="36">
        <v>201.0</v>
      </c>
      <c r="J13" s="36">
        <v>191.0</v>
      </c>
      <c r="K13" s="36">
        <v>152.0</v>
      </c>
      <c r="L13" s="37">
        <v>113.0</v>
      </c>
      <c r="M13" s="24">
        <f t="shared" si="14"/>
        <v>964</v>
      </c>
      <c r="N13" s="36">
        <v>523.0</v>
      </c>
      <c r="O13" s="37">
        <v>441.0</v>
      </c>
      <c r="P13" s="24">
        <f t="shared" si="2"/>
        <v>964</v>
      </c>
      <c r="Q13" s="30">
        <v>737.0</v>
      </c>
      <c r="R13" s="31">
        <v>227.0</v>
      </c>
      <c r="S13" s="24">
        <f t="shared" si="3"/>
        <v>964</v>
      </c>
      <c r="T13" s="30">
        <v>953.0</v>
      </c>
      <c r="U13" s="30">
        <v>181.0</v>
      </c>
      <c r="V13" s="30">
        <v>20.0</v>
      </c>
      <c r="W13" s="30">
        <v>154.0</v>
      </c>
      <c r="X13" s="30">
        <v>310.0</v>
      </c>
      <c r="Y13" s="30">
        <v>10.0</v>
      </c>
      <c r="Z13" s="31">
        <v>0.0</v>
      </c>
      <c r="AA13" s="24">
        <f t="shared" si="4"/>
        <v>1628</v>
      </c>
      <c r="AB13" s="30">
        <v>210.0</v>
      </c>
      <c r="AC13" s="30">
        <v>350.0</v>
      </c>
      <c r="AD13" s="30">
        <v>801.0</v>
      </c>
      <c r="AE13" s="30">
        <v>153.0</v>
      </c>
      <c r="AF13" s="30">
        <v>114.0</v>
      </c>
      <c r="AG13" s="24">
        <f t="shared" si="5"/>
        <v>1628</v>
      </c>
      <c r="AH13" s="30">
        <v>1122.0</v>
      </c>
      <c r="AI13" s="30">
        <v>506.0</v>
      </c>
      <c r="AJ13" s="24">
        <f t="shared" si="6"/>
        <v>1628</v>
      </c>
      <c r="AK13" s="30">
        <v>991.0</v>
      </c>
      <c r="AL13" s="30">
        <v>637.0</v>
      </c>
      <c r="AM13" s="24">
        <f t="shared" si="7"/>
        <v>1628</v>
      </c>
      <c r="AN13" s="30">
        <v>1598.0</v>
      </c>
      <c r="AO13" s="31">
        <v>30.0</v>
      </c>
      <c r="AP13" s="24">
        <f t="shared" si="8"/>
        <v>1628</v>
      </c>
      <c r="AQ13" s="30">
        <v>950.0</v>
      </c>
      <c r="AR13" s="30">
        <v>463.0</v>
      </c>
      <c r="AS13" s="30">
        <v>0.0</v>
      </c>
      <c r="AT13" s="30">
        <v>0.0</v>
      </c>
      <c r="AU13" s="31">
        <v>215.0</v>
      </c>
      <c r="AV13" s="24">
        <f t="shared" si="15"/>
        <v>1628</v>
      </c>
      <c r="AW13" s="29">
        <f t="shared" si="9"/>
        <v>215</v>
      </c>
      <c r="AX13" s="30">
        <v>891.0</v>
      </c>
      <c r="AY13" s="31">
        <v>522.0</v>
      </c>
      <c r="AZ13" s="24">
        <f t="shared" si="10"/>
        <v>1628</v>
      </c>
      <c r="BA13" s="30">
        <v>531.0</v>
      </c>
      <c r="BB13" s="30">
        <v>0.0</v>
      </c>
      <c r="BC13" s="30">
        <v>123.0</v>
      </c>
      <c r="BD13" s="30">
        <v>0.0</v>
      </c>
      <c r="BE13" s="30">
        <v>0.0</v>
      </c>
      <c r="BF13" s="30">
        <v>180.0</v>
      </c>
      <c r="BG13" s="30">
        <v>53.0</v>
      </c>
      <c r="BH13" s="31">
        <v>77.0</v>
      </c>
      <c r="BI13" s="24">
        <f t="shared" si="11"/>
        <v>964</v>
      </c>
      <c r="BJ13" s="36">
        <v>211.0</v>
      </c>
      <c r="BK13" s="36">
        <v>80.0</v>
      </c>
      <c r="BL13" s="36">
        <v>96.0</v>
      </c>
      <c r="BM13" s="36">
        <v>2.0</v>
      </c>
      <c r="BN13" s="36">
        <v>300.0</v>
      </c>
      <c r="BO13" s="36">
        <v>0.0</v>
      </c>
      <c r="BP13" s="37">
        <v>275.0</v>
      </c>
      <c r="BQ13" s="38">
        <f t="shared" si="12"/>
        <v>964</v>
      </c>
      <c r="BR13" s="107">
        <v>124.0</v>
      </c>
      <c r="BS13" s="107">
        <v>33.0</v>
      </c>
      <c r="BT13" s="107">
        <v>3955.0</v>
      </c>
      <c r="BU13" s="107">
        <f t="shared" si="13"/>
        <v>4112</v>
      </c>
    </row>
    <row r="14" ht="21.0" customHeight="1">
      <c r="A14" s="24" t="s">
        <v>47</v>
      </c>
      <c r="B14" s="40">
        <f t="shared" ref="B14:L14" si="16">SUM(B2:B13)</f>
        <v>14542</v>
      </c>
      <c r="C14" s="41">
        <f t="shared" si="16"/>
        <v>1186</v>
      </c>
      <c r="D14" s="41">
        <f t="shared" si="16"/>
        <v>303</v>
      </c>
      <c r="E14" s="42">
        <f t="shared" si="16"/>
        <v>16031</v>
      </c>
      <c r="F14" s="41">
        <f t="shared" si="16"/>
        <v>2308</v>
      </c>
      <c r="G14" s="41">
        <f t="shared" si="16"/>
        <v>1974</v>
      </c>
      <c r="H14" s="41">
        <f t="shared" si="16"/>
        <v>2003</v>
      </c>
      <c r="I14" s="41">
        <f t="shared" si="16"/>
        <v>2176</v>
      </c>
      <c r="J14" s="41">
        <f t="shared" si="16"/>
        <v>2163</v>
      </c>
      <c r="K14" s="41">
        <f t="shared" si="16"/>
        <v>2985</v>
      </c>
      <c r="L14" s="41">
        <f t="shared" si="16"/>
        <v>2422</v>
      </c>
      <c r="M14" s="24">
        <f t="shared" si="14"/>
        <v>16031</v>
      </c>
      <c r="N14" s="41">
        <f t="shared" ref="N14:AF14" si="17">SUM(N2:N13)</f>
        <v>8859</v>
      </c>
      <c r="O14" s="41">
        <f t="shared" si="17"/>
        <v>7172</v>
      </c>
      <c r="P14" s="24">
        <f t="shared" si="17"/>
        <v>16031</v>
      </c>
      <c r="Q14" s="41">
        <f t="shared" si="17"/>
        <v>13118</v>
      </c>
      <c r="R14" s="43">
        <f t="shared" si="17"/>
        <v>2913</v>
      </c>
      <c r="S14" s="24">
        <f t="shared" si="17"/>
        <v>16031</v>
      </c>
      <c r="T14" s="41">
        <f t="shared" si="17"/>
        <v>10242</v>
      </c>
      <c r="U14" s="41">
        <f t="shared" si="17"/>
        <v>6494</v>
      </c>
      <c r="V14" s="41">
        <f t="shared" si="17"/>
        <v>102</v>
      </c>
      <c r="W14" s="41">
        <f t="shared" si="17"/>
        <v>4832</v>
      </c>
      <c r="X14" s="41">
        <f t="shared" si="17"/>
        <v>2674</v>
      </c>
      <c r="Y14" s="41">
        <f t="shared" si="17"/>
        <v>86</v>
      </c>
      <c r="Z14" s="41">
        <f t="shared" si="17"/>
        <v>3260</v>
      </c>
      <c r="AA14" s="24">
        <f t="shared" si="17"/>
        <v>27690</v>
      </c>
      <c r="AB14" s="24">
        <f t="shared" si="17"/>
        <v>2862</v>
      </c>
      <c r="AC14" s="41">
        <f t="shared" si="17"/>
        <v>9041</v>
      </c>
      <c r="AD14" s="41">
        <f t="shared" si="17"/>
        <v>6654</v>
      </c>
      <c r="AE14" s="41">
        <f t="shared" si="17"/>
        <v>4503</v>
      </c>
      <c r="AF14" s="41">
        <f t="shared" si="17"/>
        <v>2222</v>
      </c>
      <c r="AG14" s="24">
        <f t="shared" si="5"/>
        <v>25282</v>
      </c>
      <c r="AH14" s="41">
        <f t="shared" ref="AH14:BU14" si="18">SUM(AH2:AH13)</f>
        <v>16249</v>
      </c>
      <c r="AI14" s="41">
        <f t="shared" si="18"/>
        <v>9033</v>
      </c>
      <c r="AJ14" s="24">
        <f t="shared" si="18"/>
        <v>25282</v>
      </c>
      <c r="AK14" s="41">
        <f t="shared" si="18"/>
        <v>16857</v>
      </c>
      <c r="AL14" s="41">
        <f t="shared" si="18"/>
        <v>8425</v>
      </c>
      <c r="AM14" s="24">
        <f t="shared" si="18"/>
        <v>25282</v>
      </c>
      <c r="AN14" s="41">
        <f t="shared" si="18"/>
        <v>24386</v>
      </c>
      <c r="AO14" s="43">
        <f t="shared" si="18"/>
        <v>896</v>
      </c>
      <c r="AP14" s="24">
        <f t="shared" si="18"/>
        <v>25282</v>
      </c>
      <c r="AQ14" s="41">
        <f t="shared" si="18"/>
        <v>17348</v>
      </c>
      <c r="AR14" s="41">
        <f t="shared" si="18"/>
        <v>5316</v>
      </c>
      <c r="AS14" s="41">
        <f t="shared" si="18"/>
        <v>1</v>
      </c>
      <c r="AT14" s="41">
        <f t="shared" si="18"/>
        <v>2</v>
      </c>
      <c r="AU14" s="43">
        <f t="shared" si="18"/>
        <v>2615</v>
      </c>
      <c r="AV14" s="24">
        <f t="shared" si="18"/>
        <v>25282</v>
      </c>
      <c r="AW14" s="40">
        <f t="shared" si="18"/>
        <v>2615</v>
      </c>
      <c r="AX14" s="41">
        <f t="shared" si="18"/>
        <v>18394</v>
      </c>
      <c r="AY14" s="43">
        <f t="shared" si="18"/>
        <v>4273</v>
      </c>
      <c r="AZ14" s="24">
        <f t="shared" si="18"/>
        <v>25282</v>
      </c>
      <c r="BA14" s="44">
        <f t="shared" si="18"/>
        <v>13148</v>
      </c>
      <c r="BB14" s="44">
        <f t="shared" si="18"/>
        <v>54</v>
      </c>
      <c r="BC14" s="44">
        <f t="shared" si="18"/>
        <v>550</v>
      </c>
      <c r="BD14" s="44">
        <f t="shared" si="18"/>
        <v>10</v>
      </c>
      <c r="BE14" s="44">
        <f t="shared" si="18"/>
        <v>44</v>
      </c>
      <c r="BF14" s="44">
        <f t="shared" si="18"/>
        <v>1272</v>
      </c>
      <c r="BG14" s="44">
        <f t="shared" si="18"/>
        <v>658</v>
      </c>
      <c r="BH14" s="44">
        <f t="shared" si="18"/>
        <v>295</v>
      </c>
      <c r="BI14" s="24">
        <f t="shared" si="18"/>
        <v>16031</v>
      </c>
      <c r="BJ14" s="24">
        <f t="shared" si="18"/>
        <v>1761</v>
      </c>
      <c r="BK14" s="24">
        <f t="shared" si="18"/>
        <v>1853</v>
      </c>
      <c r="BL14" s="24">
        <f t="shared" si="18"/>
        <v>1376</v>
      </c>
      <c r="BM14" s="24">
        <f t="shared" si="18"/>
        <v>177</v>
      </c>
      <c r="BN14" s="24">
        <f t="shared" si="18"/>
        <v>6247</v>
      </c>
      <c r="BO14" s="24">
        <f t="shared" si="18"/>
        <v>13</v>
      </c>
      <c r="BP14" s="24">
        <f t="shared" si="18"/>
        <v>4604</v>
      </c>
      <c r="BQ14" s="24">
        <f t="shared" si="18"/>
        <v>16031</v>
      </c>
      <c r="BR14" s="107">
        <f t="shared" si="18"/>
        <v>1724</v>
      </c>
      <c r="BS14" s="107">
        <f t="shared" si="18"/>
        <v>434</v>
      </c>
      <c r="BT14" s="107">
        <f t="shared" si="18"/>
        <v>36698</v>
      </c>
      <c r="BU14" s="107">
        <f t="shared" si="18"/>
        <v>38856</v>
      </c>
    </row>
    <row r="15" ht="12.75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3" width="8.0"/>
  </cols>
  <sheetData>
    <row r="1" ht="124.5" customHeight="1">
      <c r="A1" s="2" t="s">
        <v>1</v>
      </c>
      <c r="B1" s="3" t="s">
        <v>2</v>
      </c>
      <c r="C1" s="3" t="s">
        <v>3</v>
      </c>
      <c r="D1" s="4" t="s">
        <v>4</v>
      </c>
      <c r="E1" s="5" t="s">
        <v>5</v>
      </c>
      <c r="F1" s="2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6" t="s">
        <v>13</v>
      </c>
      <c r="N1" s="2" t="s">
        <v>14</v>
      </c>
      <c r="O1" s="3" t="s">
        <v>15</v>
      </c>
      <c r="P1" s="6" t="s">
        <v>16</v>
      </c>
      <c r="Q1" s="2" t="s">
        <v>17</v>
      </c>
      <c r="R1" s="3" t="s">
        <v>18</v>
      </c>
      <c r="S1" s="6" t="s">
        <v>19</v>
      </c>
      <c r="T1" s="2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6" t="s">
        <v>27</v>
      </c>
      <c r="AB1" s="2">
        <v>-18.0</v>
      </c>
      <c r="AC1" s="3" t="s">
        <v>28</v>
      </c>
      <c r="AD1" s="3" t="s">
        <v>29</v>
      </c>
      <c r="AE1" s="3" t="s">
        <v>30</v>
      </c>
      <c r="AF1" s="3" t="s">
        <v>31</v>
      </c>
      <c r="AG1" s="6" t="s">
        <v>32</v>
      </c>
      <c r="AH1" s="2" t="s">
        <v>33</v>
      </c>
      <c r="AI1" s="3" t="s">
        <v>34</v>
      </c>
      <c r="AJ1" s="6" t="s">
        <v>35</v>
      </c>
      <c r="AK1" s="2" t="s">
        <v>36</v>
      </c>
      <c r="AL1" s="3" t="s">
        <v>37</v>
      </c>
      <c r="AM1" s="6" t="s">
        <v>38</v>
      </c>
      <c r="AN1" s="2" t="s">
        <v>39</v>
      </c>
      <c r="AO1" s="3" t="s">
        <v>40</v>
      </c>
      <c r="AP1" s="6" t="s">
        <v>41</v>
      </c>
      <c r="AQ1" s="2" t="s">
        <v>42</v>
      </c>
      <c r="AR1" s="3" t="s">
        <v>43</v>
      </c>
      <c r="AS1" s="3" t="s">
        <v>44</v>
      </c>
      <c r="AT1" s="3" t="s">
        <v>45</v>
      </c>
      <c r="AU1" s="7" t="s">
        <v>46</v>
      </c>
      <c r="AV1" s="8" t="s">
        <v>47</v>
      </c>
      <c r="AW1" s="9" t="s">
        <v>46</v>
      </c>
      <c r="AX1" s="3" t="s">
        <v>48</v>
      </c>
      <c r="AY1" s="3" t="s">
        <v>49</v>
      </c>
      <c r="AZ1" s="10" t="s">
        <v>47</v>
      </c>
      <c r="BA1" s="11" t="s">
        <v>50</v>
      </c>
      <c r="BB1" s="12" t="s">
        <v>51</v>
      </c>
      <c r="BC1" s="12" t="s">
        <v>52</v>
      </c>
      <c r="BD1" s="12" t="s">
        <v>53</v>
      </c>
      <c r="BE1" s="13" t="s">
        <v>54</v>
      </c>
      <c r="BF1" s="14" t="s">
        <v>55</v>
      </c>
      <c r="BG1" s="14" t="s">
        <v>56</v>
      </c>
      <c r="BH1" s="15" t="s">
        <v>57</v>
      </c>
      <c r="BI1" s="16" t="s">
        <v>47</v>
      </c>
      <c r="BJ1" s="16" t="s">
        <v>58</v>
      </c>
      <c r="BK1" s="17" t="s">
        <v>59</v>
      </c>
      <c r="BL1" s="18" t="s">
        <v>60</v>
      </c>
      <c r="BM1" s="18" t="s">
        <v>61</v>
      </c>
      <c r="BN1" s="18" t="s">
        <v>62</v>
      </c>
      <c r="BO1" s="18" t="s">
        <v>63</v>
      </c>
      <c r="BP1" s="18" t="s">
        <v>26</v>
      </c>
      <c r="BQ1" s="19" t="s">
        <v>64</v>
      </c>
      <c r="BR1" s="20" t="s">
        <v>65</v>
      </c>
      <c r="BS1" s="21" t="s">
        <v>66</v>
      </c>
      <c r="BT1" s="18" t="s">
        <v>67</v>
      </c>
      <c r="BU1" s="22" t="s">
        <v>68</v>
      </c>
    </row>
    <row r="2" ht="21.0" customHeight="1">
      <c r="A2" s="24" t="s">
        <v>69</v>
      </c>
      <c r="B2" s="25">
        <v>466.0</v>
      </c>
      <c r="C2" s="26">
        <v>20.0</v>
      </c>
      <c r="D2" s="27">
        <v>18.0</v>
      </c>
      <c r="E2" s="28">
        <f t="shared" ref="E2:E13" si="1">SUM(B2:D2)</f>
        <v>504</v>
      </c>
      <c r="F2" s="26">
        <v>81.0</v>
      </c>
      <c r="G2" s="26">
        <v>84.0</v>
      </c>
      <c r="H2" s="26">
        <v>72.0</v>
      </c>
      <c r="I2" s="26">
        <v>74.0</v>
      </c>
      <c r="J2" s="26">
        <v>79.0</v>
      </c>
      <c r="K2" s="26">
        <v>56.0</v>
      </c>
      <c r="L2" s="27">
        <v>58.0</v>
      </c>
      <c r="M2" s="24">
        <f t="shared" ref="M2:M14" si="2">F2+G2+H2+I2+J2+K2+L2</f>
        <v>504</v>
      </c>
      <c r="N2" s="26">
        <v>302.0</v>
      </c>
      <c r="O2" s="27">
        <v>202.0</v>
      </c>
      <c r="P2" s="24">
        <f t="shared" ref="P2:P13" si="3">SUM(N2:O2)</f>
        <v>504</v>
      </c>
      <c r="Q2" s="26">
        <v>404.0</v>
      </c>
      <c r="R2" s="27">
        <v>100.0</v>
      </c>
      <c r="S2" s="24">
        <f t="shared" ref="S2:S13" si="4">SUM(Q2:R2)</f>
        <v>504</v>
      </c>
      <c r="T2" s="26">
        <v>479.0</v>
      </c>
      <c r="U2" s="26">
        <v>367.0</v>
      </c>
      <c r="V2" s="26">
        <v>0.0</v>
      </c>
      <c r="W2" s="26">
        <v>36.0</v>
      </c>
      <c r="X2" s="26">
        <v>79.0</v>
      </c>
      <c r="Y2" s="26">
        <v>0.0</v>
      </c>
      <c r="Z2" s="27">
        <v>3.0</v>
      </c>
      <c r="AA2" s="24">
        <f t="shared" ref="AA2:AA13" si="5">SUM(T2:Z2)</f>
        <v>964</v>
      </c>
      <c r="AB2" s="26">
        <v>214.0</v>
      </c>
      <c r="AC2" s="26">
        <v>352.0</v>
      </c>
      <c r="AD2" s="26">
        <v>252.0</v>
      </c>
      <c r="AE2" s="26">
        <v>10.0</v>
      </c>
      <c r="AF2" s="26">
        <v>136.0</v>
      </c>
      <c r="AG2" s="24">
        <f t="shared" ref="AG2:AG13" si="6">SUM(AB2:AF2)</f>
        <v>964</v>
      </c>
      <c r="AH2" s="26">
        <v>709.0</v>
      </c>
      <c r="AI2" s="26">
        <v>255.0</v>
      </c>
      <c r="AJ2" s="24">
        <f t="shared" ref="AJ2:AJ13" si="7">SUM(AH2:AI2)</f>
        <v>964</v>
      </c>
      <c r="AK2" s="26">
        <v>540.0</v>
      </c>
      <c r="AL2" s="26">
        <v>424.0</v>
      </c>
      <c r="AM2" s="24">
        <f t="shared" ref="AM2:AM13" si="8">SUM(AK2:AL2)</f>
        <v>964</v>
      </c>
      <c r="AN2" s="26">
        <v>899.0</v>
      </c>
      <c r="AO2" s="27">
        <v>65.0</v>
      </c>
      <c r="AP2" s="24">
        <f t="shared" ref="AP2:AP13" si="9">SUM(AN2:AO2)</f>
        <v>964</v>
      </c>
      <c r="AQ2" s="26">
        <v>807.0</v>
      </c>
      <c r="AR2" s="26">
        <v>105.0</v>
      </c>
      <c r="AS2" s="26">
        <v>5.0</v>
      </c>
      <c r="AT2" s="26">
        <v>0.0</v>
      </c>
      <c r="AU2" s="27">
        <v>47.0</v>
      </c>
      <c r="AV2" s="24">
        <f>+AQ2+AR2+AS2+AT2+AU2</f>
        <v>964</v>
      </c>
      <c r="AW2" s="29">
        <f t="shared" ref="AW2:AW13" si="10">AU2</f>
        <v>47</v>
      </c>
      <c r="AX2" s="26">
        <v>873.0</v>
      </c>
      <c r="AY2" s="27">
        <v>44.0</v>
      </c>
      <c r="AZ2" s="24">
        <f t="shared" ref="AZ2:AZ13" si="11">SUM(AW2:AY2)</f>
        <v>964</v>
      </c>
      <c r="BA2" s="30">
        <v>431.0</v>
      </c>
      <c r="BB2" s="30">
        <v>13.0</v>
      </c>
      <c r="BC2" s="30">
        <v>15.0</v>
      </c>
      <c r="BD2" s="30">
        <v>3.0</v>
      </c>
      <c r="BE2" s="30">
        <v>0.0</v>
      </c>
      <c r="BF2" s="30">
        <v>29.0</v>
      </c>
      <c r="BG2" s="30">
        <v>10.0</v>
      </c>
      <c r="BH2" s="31">
        <v>3.0</v>
      </c>
      <c r="BI2" s="24">
        <f t="shared" ref="BI2:BI13" si="12">SUM(BA2:BH2)</f>
        <v>504</v>
      </c>
      <c r="BJ2" s="30">
        <v>23.0</v>
      </c>
      <c r="BK2" s="30">
        <v>8.0</v>
      </c>
      <c r="BL2" s="30">
        <v>38.0</v>
      </c>
      <c r="BM2" s="30">
        <v>0.0</v>
      </c>
      <c r="BN2" s="30">
        <v>95.0</v>
      </c>
      <c r="BO2" s="30">
        <v>0.0</v>
      </c>
      <c r="BP2" s="31">
        <v>340.0</v>
      </c>
      <c r="BQ2" s="24">
        <f t="shared" ref="BQ2:BQ13" si="13">SUM(BJ2:BP2)</f>
        <v>504</v>
      </c>
      <c r="BR2" s="32">
        <v>40.0</v>
      </c>
      <c r="BS2" s="30">
        <v>21.0</v>
      </c>
      <c r="BT2" s="31">
        <v>919.0</v>
      </c>
      <c r="BU2" s="24">
        <f t="shared" ref="BU2:BU14" si="14">SUM(BR2:BT2)</f>
        <v>980</v>
      </c>
    </row>
    <row r="3" ht="21.0" customHeight="1">
      <c r="A3" s="24" t="s">
        <v>70</v>
      </c>
      <c r="B3" s="33">
        <v>461.0</v>
      </c>
      <c r="C3" s="30">
        <v>24.0</v>
      </c>
      <c r="D3" s="31">
        <v>13.0</v>
      </c>
      <c r="E3" s="28">
        <f t="shared" si="1"/>
        <v>498</v>
      </c>
      <c r="F3" s="30">
        <v>71.0</v>
      </c>
      <c r="G3" s="30">
        <v>79.0</v>
      </c>
      <c r="H3" s="30">
        <v>71.0</v>
      </c>
      <c r="I3" s="30">
        <v>72.0</v>
      </c>
      <c r="J3" s="30">
        <v>78.0</v>
      </c>
      <c r="K3" s="30">
        <v>78.0</v>
      </c>
      <c r="L3" s="31">
        <v>49.0</v>
      </c>
      <c r="M3" s="24">
        <f t="shared" si="2"/>
        <v>498</v>
      </c>
      <c r="N3" s="30">
        <v>288.0</v>
      </c>
      <c r="O3" s="31">
        <v>210.0</v>
      </c>
      <c r="P3" s="24">
        <f t="shared" si="3"/>
        <v>498</v>
      </c>
      <c r="Q3" s="30">
        <v>397.0</v>
      </c>
      <c r="R3" s="31">
        <v>101.0</v>
      </c>
      <c r="S3" s="24">
        <f t="shared" si="4"/>
        <v>498</v>
      </c>
      <c r="T3" s="30">
        <v>512.0</v>
      </c>
      <c r="U3" s="30">
        <v>365.0</v>
      </c>
      <c r="V3" s="30">
        <v>0.0</v>
      </c>
      <c r="W3" s="30">
        <v>30.0</v>
      </c>
      <c r="X3" s="30">
        <v>38.0</v>
      </c>
      <c r="Y3" s="30">
        <v>11.0</v>
      </c>
      <c r="Z3" s="31">
        <v>3.0</v>
      </c>
      <c r="AA3" s="24">
        <f t="shared" si="5"/>
        <v>959</v>
      </c>
      <c r="AB3" s="30">
        <v>196.0</v>
      </c>
      <c r="AC3" s="30">
        <v>302.0</v>
      </c>
      <c r="AD3" s="30">
        <v>323.0</v>
      </c>
      <c r="AE3" s="30">
        <v>129.0</v>
      </c>
      <c r="AF3" s="30">
        <v>37.0</v>
      </c>
      <c r="AG3" s="24">
        <f t="shared" si="6"/>
        <v>987</v>
      </c>
      <c r="AH3" s="30">
        <v>650.0</v>
      </c>
      <c r="AI3" s="30">
        <v>337.0</v>
      </c>
      <c r="AJ3" s="24">
        <f t="shared" si="7"/>
        <v>987</v>
      </c>
      <c r="AK3" s="30">
        <v>589.0</v>
      </c>
      <c r="AL3" s="30">
        <v>398.0</v>
      </c>
      <c r="AM3" s="24">
        <f t="shared" si="8"/>
        <v>987</v>
      </c>
      <c r="AN3" s="30">
        <v>949.0</v>
      </c>
      <c r="AO3" s="31">
        <v>38.0</v>
      </c>
      <c r="AP3" s="24">
        <f t="shared" si="9"/>
        <v>987</v>
      </c>
      <c r="AQ3" s="30">
        <v>733.0</v>
      </c>
      <c r="AR3" s="30">
        <v>174.0</v>
      </c>
      <c r="AS3" s="30">
        <v>0.0</v>
      </c>
      <c r="AT3" s="30">
        <v>0.0</v>
      </c>
      <c r="AU3" s="31">
        <v>80.0</v>
      </c>
      <c r="AV3" s="24">
        <f t="shared" ref="AV3:AV13" si="15">SUM(AQ3:AU3)</f>
        <v>987</v>
      </c>
      <c r="AW3" s="29">
        <f t="shared" si="10"/>
        <v>80</v>
      </c>
      <c r="AX3" s="30">
        <v>907.0</v>
      </c>
      <c r="AY3" s="31">
        <v>0.0</v>
      </c>
      <c r="AZ3" s="24">
        <f t="shared" si="11"/>
        <v>987</v>
      </c>
      <c r="BA3" s="30">
        <v>408.0</v>
      </c>
      <c r="BB3" s="30">
        <v>0.0</v>
      </c>
      <c r="BC3" s="30">
        <v>11.0</v>
      </c>
      <c r="BD3" s="30">
        <v>0.0</v>
      </c>
      <c r="BE3" s="30">
        <v>3.0</v>
      </c>
      <c r="BF3" s="30">
        <v>43.0</v>
      </c>
      <c r="BG3" s="30">
        <v>27.0</v>
      </c>
      <c r="BH3" s="31">
        <v>6.0</v>
      </c>
      <c r="BI3" s="24">
        <f t="shared" si="12"/>
        <v>498</v>
      </c>
      <c r="BJ3" s="30">
        <v>28.0</v>
      </c>
      <c r="BK3" s="30">
        <v>12.0</v>
      </c>
      <c r="BL3" s="30">
        <v>12.0</v>
      </c>
      <c r="BM3" s="30">
        <v>0.0</v>
      </c>
      <c r="BN3" s="30">
        <v>63.0</v>
      </c>
      <c r="BO3" s="30">
        <v>0.0</v>
      </c>
      <c r="BP3" s="31">
        <v>383.0</v>
      </c>
      <c r="BQ3" s="24">
        <f t="shared" si="13"/>
        <v>498</v>
      </c>
      <c r="BR3" s="32">
        <v>64.0</v>
      </c>
      <c r="BS3" s="30">
        <v>13.0</v>
      </c>
      <c r="BT3" s="31">
        <v>910.0</v>
      </c>
      <c r="BU3" s="24">
        <f t="shared" si="14"/>
        <v>987</v>
      </c>
    </row>
    <row r="4" ht="21.0" customHeight="1">
      <c r="A4" s="24" t="s">
        <v>71</v>
      </c>
      <c r="B4" s="33">
        <v>458.0</v>
      </c>
      <c r="C4" s="30">
        <v>17.0</v>
      </c>
      <c r="D4" s="31">
        <v>12.0</v>
      </c>
      <c r="E4" s="28">
        <f t="shared" si="1"/>
        <v>487</v>
      </c>
      <c r="F4" s="30">
        <v>68.0</v>
      </c>
      <c r="G4" s="30">
        <v>82.0</v>
      </c>
      <c r="H4" s="30">
        <v>73.0</v>
      </c>
      <c r="I4" s="30">
        <v>88.0</v>
      </c>
      <c r="J4" s="30">
        <v>65.0</v>
      </c>
      <c r="K4" s="30">
        <v>66.0</v>
      </c>
      <c r="L4" s="31">
        <v>45.0</v>
      </c>
      <c r="M4" s="24">
        <f t="shared" si="2"/>
        <v>487</v>
      </c>
      <c r="N4" s="30">
        <v>307.0</v>
      </c>
      <c r="O4" s="31">
        <v>180.0</v>
      </c>
      <c r="P4" s="24">
        <f t="shared" si="3"/>
        <v>487</v>
      </c>
      <c r="Q4" s="30">
        <v>312.0</v>
      </c>
      <c r="R4" s="31">
        <v>175.0</v>
      </c>
      <c r="S4" s="24">
        <f t="shared" si="4"/>
        <v>487</v>
      </c>
      <c r="T4" s="30">
        <v>502.0</v>
      </c>
      <c r="U4" s="30">
        <v>381.0</v>
      </c>
      <c r="V4" s="30">
        <v>0.0</v>
      </c>
      <c r="W4" s="30">
        <v>87.0</v>
      </c>
      <c r="X4" s="30">
        <v>28.0</v>
      </c>
      <c r="Y4" s="30">
        <v>15.0</v>
      </c>
      <c r="Z4" s="31">
        <v>1.0</v>
      </c>
      <c r="AA4" s="24">
        <f t="shared" si="5"/>
        <v>1014</v>
      </c>
      <c r="AB4" s="30">
        <v>145.0</v>
      </c>
      <c r="AC4" s="30">
        <v>297.0</v>
      </c>
      <c r="AD4" s="30">
        <v>347.0</v>
      </c>
      <c r="AE4" s="30">
        <v>145.0</v>
      </c>
      <c r="AF4" s="30">
        <v>54.0</v>
      </c>
      <c r="AG4" s="24">
        <f t="shared" si="6"/>
        <v>988</v>
      </c>
      <c r="AH4" s="30">
        <v>696.0</v>
      </c>
      <c r="AI4" s="30">
        <v>292.0</v>
      </c>
      <c r="AJ4" s="24">
        <f t="shared" si="7"/>
        <v>988</v>
      </c>
      <c r="AK4" s="30">
        <v>667.0</v>
      </c>
      <c r="AL4" s="30">
        <v>321.0</v>
      </c>
      <c r="AM4" s="24">
        <f t="shared" si="8"/>
        <v>988</v>
      </c>
      <c r="AN4" s="30">
        <v>974.0</v>
      </c>
      <c r="AO4" s="31">
        <v>14.0</v>
      </c>
      <c r="AP4" s="24">
        <f t="shared" si="9"/>
        <v>988</v>
      </c>
      <c r="AQ4" s="30">
        <v>687.0</v>
      </c>
      <c r="AR4" s="30">
        <v>266.0</v>
      </c>
      <c r="AS4" s="30">
        <v>9.0</v>
      </c>
      <c r="AT4" s="30">
        <v>0.0</v>
      </c>
      <c r="AU4" s="31">
        <v>26.0</v>
      </c>
      <c r="AV4" s="24">
        <f t="shared" si="15"/>
        <v>988</v>
      </c>
      <c r="AW4" s="29">
        <f t="shared" si="10"/>
        <v>26</v>
      </c>
      <c r="AX4" s="30">
        <v>946.0</v>
      </c>
      <c r="AY4" s="31">
        <v>16.0</v>
      </c>
      <c r="AZ4" s="24">
        <f t="shared" si="11"/>
        <v>988</v>
      </c>
      <c r="BA4" s="30">
        <v>445.0</v>
      </c>
      <c r="BB4" s="30">
        <v>0.0</v>
      </c>
      <c r="BC4" s="30">
        <v>8.0</v>
      </c>
      <c r="BD4" s="30">
        <v>0.0</v>
      </c>
      <c r="BE4" s="30">
        <v>1.0</v>
      </c>
      <c r="BF4" s="30">
        <v>9.0</v>
      </c>
      <c r="BG4" s="30">
        <v>14.0</v>
      </c>
      <c r="BH4" s="31">
        <v>10.0</v>
      </c>
      <c r="BI4" s="24">
        <f t="shared" si="12"/>
        <v>487</v>
      </c>
      <c r="BJ4" s="30">
        <v>5.0</v>
      </c>
      <c r="BK4" s="30">
        <v>46.0</v>
      </c>
      <c r="BL4" s="30">
        <v>16.0</v>
      </c>
      <c r="BM4" s="30">
        <v>4.0</v>
      </c>
      <c r="BN4" s="30">
        <v>67.0</v>
      </c>
      <c r="BO4" s="30">
        <v>0.0</v>
      </c>
      <c r="BP4" s="31">
        <v>349.0</v>
      </c>
      <c r="BQ4" s="24">
        <f t="shared" si="13"/>
        <v>487</v>
      </c>
      <c r="BR4" s="32">
        <v>30.0</v>
      </c>
      <c r="BS4" s="30">
        <v>12.0</v>
      </c>
      <c r="BT4" s="31">
        <v>951.0</v>
      </c>
      <c r="BU4" s="24">
        <f t="shared" si="14"/>
        <v>993</v>
      </c>
    </row>
    <row r="5" ht="21.0" customHeight="1">
      <c r="A5" s="24" t="s">
        <v>72</v>
      </c>
      <c r="B5" s="33">
        <v>458.0</v>
      </c>
      <c r="C5" s="30">
        <v>16.0</v>
      </c>
      <c r="D5" s="31">
        <v>14.0</v>
      </c>
      <c r="E5" s="28">
        <f t="shared" si="1"/>
        <v>488</v>
      </c>
      <c r="F5" s="30">
        <v>66.0</v>
      </c>
      <c r="G5" s="30">
        <v>68.0</v>
      </c>
      <c r="H5" s="30">
        <v>83.0</v>
      </c>
      <c r="I5" s="30">
        <v>75.0</v>
      </c>
      <c r="J5" s="30">
        <v>62.0</v>
      </c>
      <c r="K5" s="30">
        <v>71.0</v>
      </c>
      <c r="L5" s="31">
        <v>63.0</v>
      </c>
      <c r="M5" s="24">
        <f t="shared" si="2"/>
        <v>488</v>
      </c>
      <c r="N5" s="30">
        <v>342.0</v>
      </c>
      <c r="O5" s="31">
        <v>146.0</v>
      </c>
      <c r="P5" s="24">
        <f t="shared" si="3"/>
        <v>488</v>
      </c>
      <c r="Q5" s="30">
        <v>402.0</v>
      </c>
      <c r="R5" s="31">
        <v>86.0</v>
      </c>
      <c r="S5" s="24">
        <f t="shared" si="4"/>
        <v>488</v>
      </c>
      <c r="T5" s="30">
        <v>463.0</v>
      </c>
      <c r="U5" s="30">
        <v>371.0</v>
      </c>
      <c r="V5" s="30">
        <v>2.0</v>
      </c>
      <c r="W5" s="30">
        <v>55.0</v>
      </c>
      <c r="X5" s="30">
        <v>29.0</v>
      </c>
      <c r="Y5" s="30">
        <v>12.0</v>
      </c>
      <c r="Z5" s="31">
        <v>521.0</v>
      </c>
      <c r="AA5" s="24">
        <f t="shared" si="5"/>
        <v>1453</v>
      </c>
      <c r="AB5" s="30">
        <v>160.0</v>
      </c>
      <c r="AC5" s="30">
        <v>287.0</v>
      </c>
      <c r="AD5" s="30">
        <v>304.0</v>
      </c>
      <c r="AE5" s="30">
        <v>133.0</v>
      </c>
      <c r="AF5" s="30">
        <v>66.0</v>
      </c>
      <c r="AG5" s="24">
        <f t="shared" si="6"/>
        <v>950</v>
      </c>
      <c r="AH5" s="30">
        <v>720.0</v>
      </c>
      <c r="AI5" s="30">
        <v>230.0</v>
      </c>
      <c r="AJ5" s="24">
        <f t="shared" si="7"/>
        <v>950</v>
      </c>
      <c r="AK5" s="30">
        <v>541.0</v>
      </c>
      <c r="AL5" s="30">
        <v>409.0</v>
      </c>
      <c r="AM5" s="24">
        <f t="shared" si="8"/>
        <v>950</v>
      </c>
      <c r="AN5" s="30">
        <v>914.0</v>
      </c>
      <c r="AO5" s="31">
        <v>36.0</v>
      </c>
      <c r="AP5" s="24">
        <f t="shared" si="9"/>
        <v>950</v>
      </c>
      <c r="AQ5" s="30">
        <v>734.0</v>
      </c>
      <c r="AR5" s="30">
        <v>194.0</v>
      </c>
      <c r="AS5" s="30">
        <v>3.0</v>
      </c>
      <c r="AT5" s="30">
        <v>0.0</v>
      </c>
      <c r="AU5" s="31">
        <v>19.0</v>
      </c>
      <c r="AV5" s="24">
        <f t="shared" si="15"/>
        <v>950</v>
      </c>
      <c r="AW5" s="29">
        <f t="shared" si="10"/>
        <v>19</v>
      </c>
      <c r="AX5" s="30">
        <v>912.0</v>
      </c>
      <c r="AY5" s="31">
        <v>19.0</v>
      </c>
      <c r="AZ5" s="24">
        <f t="shared" si="11"/>
        <v>950</v>
      </c>
      <c r="BA5" s="30">
        <v>446.0</v>
      </c>
      <c r="BB5" s="30">
        <v>0.0</v>
      </c>
      <c r="BC5" s="30">
        <v>8.0</v>
      </c>
      <c r="BD5" s="30">
        <v>0.0</v>
      </c>
      <c r="BE5" s="30">
        <v>1.0</v>
      </c>
      <c r="BF5" s="30">
        <v>24.0</v>
      </c>
      <c r="BG5" s="30">
        <v>8.0</v>
      </c>
      <c r="BH5" s="31">
        <v>1.0</v>
      </c>
      <c r="BI5" s="24">
        <f t="shared" si="12"/>
        <v>488</v>
      </c>
      <c r="BJ5" s="30">
        <v>19.0</v>
      </c>
      <c r="BK5" s="30">
        <v>26.0</v>
      </c>
      <c r="BL5" s="30">
        <v>11.0</v>
      </c>
      <c r="BM5" s="30">
        <v>12.0</v>
      </c>
      <c r="BN5" s="30">
        <v>92.0</v>
      </c>
      <c r="BO5" s="30">
        <v>0.0</v>
      </c>
      <c r="BP5" s="31">
        <v>328.0</v>
      </c>
      <c r="BQ5" s="24">
        <f t="shared" si="13"/>
        <v>488</v>
      </c>
      <c r="BR5" s="32">
        <v>37.0</v>
      </c>
      <c r="BS5" s="30">
        <v>18.0</v>
      </c>
      <c r="BT5" s="31">
        <v>918.0</v>
      </c>
      <c r="BU5" s="24">
        <f t="shared" si="14"/>
        <v>973</v>
      </c>
    </row>
    <row r="6" ht="21.0" customHeight="1">
      <c r="A6" s="34" t="s">
        <v>73</v>
      </c>
      <c r="B6" s="33">
        <v>496.0</v>
      </c>
      <c r="C6" s="30">
        <v>21.0</v>
      </c>
      <c r="D6" s="31">
        <v>8.0</v>
      </c>
      <c r="E6" s="28">
        <f t="shared" si="1"/>
        <v>525</v>
      </c>
      <c r="F6" s="30">
        <v>68.0</v>
      </c>
      <c r="G6" s="30">
        <v>86.0</v>
      </c>
      <c r="H6" s="30">
        <v>65.0</v>
      </c>
      <c r="I6" s="30">
        <v>81.0</v>
      </c>
      <c r="J6" s="30">
        <v>78.0</v>
      </c>
      <c r="K6" s="30">
        <v>77.0</v>
      </c>
      <c r="L6" s="31">
        <v>70.0</v>
      </c>
      <c r="M6" s="24">
        <f t="shared" si="2"/>
        <v>525</v>
      </c>
      <c r="N6" s="30">
        <v>274.0</v>
      </c>
      <c r="O6" s="31">
        <v>251.0</v>
      </c>
      <c r="P6" s="24">
        <f t="shared" si="3"/>
        <v>525</v>
      </c>
      <c r="Q6" s="30">
        <v>399.0</v>
      </c>
      <c r="R6" s="31">
        <v>126.0</v>
      </c>
      <c r="S6" s="24">
        <f t="shared" si="4"/>
        <v>525</v>
      </c>
      <c r="T6" s="30">
        <v>471.0</v>
      </c>
      <c r="U6" s="30">
        <v>403.0</v>
      </c>
      <c r="V6" s="30">
        <v>0.0</v>
      </c>
      <c r="W6" s="30">
        <v>44.0</v>
      </c>
      <c r="X6" s="30">
        <v>42.0</v>
      </c>
      <c r="Y6" s="30">
        <v>0.0</v>
      </c>
      <c r="Z6" s="31">
        <v>27.0</v>
      </c>
      <c r="AA6" s="24">
        <f t="shared" si="5"/>
        <v>987</v>
      </c>
      <c r="AB6" s="30">
        <v>152.0</v>
      </c>
      <c r="AC6" s="30">
        <v>382.0</v>
      </c>
      <c r="AD6" s="30">
        <v>331.0</v>
      </c>
      <c r="AE6" s="30">
        <v>138.0</v>
      </c>
      <c r="AF6" s="30">
        <v>63.0</v>
      </c>
      <c r="AG6" s="24">
        <f t="shared" si="6"/>
        <v>1066</v>
      </c>
      <c r="AH6" s="30">
        <v>766.0</v>
      </c>
      <c r="AI6" s="30">
        <v>300.0</v>
      </c>
      <c r="AJ6" s="24">
        <f t="shared" si="7"/>
        <v>1066</v>
      </c>
      <c r="AK6" s="30">
        <v>650.0</v>
      </c>
      <c r="AL6" s="30">
        <v>416.0</v>
      </c>
      <c r="AM6" s="24">
        <f t="shared" si="8"/>
        <v>1066</v>
      </c>
      <c r="AN6" s="30">
        <v>1041.0</v>
      </c>
      <c r="AO6" s="31">
        <v>25.0</v>
      </c>
      <c r="AP6" s="24">
        <f t="shared" si="9"/>
        <v>1066</v>
      </c>
      <c r="AQ6" s="30">
        <v>855.0</v>
      </c>
      <c r="AR6" s="30">
        <v>171.0</v>
      </c>
      <c r="AS6" s="30">
        <v>2.0</v>
      </c>
      <c r="AT6" s="30">
        <v>0.0</v>
      </c>
      <c r="AU6" s="31">
        <v>38.0</v>
      </c>
      <c r="AV6" s="24">
        <f t="shared" si="15"/>
        <v>1066</v>
      </c>
      <c r="AW6" s="29">
        <f t="shared" si="10"/>
        <v>38</v>
      </c>
      <c r="AX6" s="30">
        <v>1013.0</v>
      </c>
      <c r="AY6" s="31">
        <v>15.0</v>
      </c>
      <c r="AZ6" s="24">
        <f t="shared" si="11"/>
        <v>1066</v>
      </c>
      <c r="BA6" s="30">
        <v>473.0</v>
      </c>
      <c r="BB6" s="30">
        <v>0.0</v>
      </c>
      <c r="BC6" s="30">
        <v>5.0</v>
      </c>
      <c r="BD6" s="30">
        <v>0.0</v>
      </c>
      <c r="BE6" s="30">
        <v>2.0</v>
      </c>
      <c r="BF6" s="30">
        <v>24.0</v>
      </c>
      <c r="BG6" s="30">
        <v>11.0</v>
      </c>
      <c r="BH6" s="31">
        <v>10.0</v>
      </c>
      <c r="BI6" s="24">
        <f t="shared" si="12"/>
        <v>525</v>
      </c>
      <c r="BJ6" s="30">
        <v>39.0</v>
      </c>
      <c r="BK6" s="30">
        <v>25.0</v>
      </c>
      <c r="BL6" s="30">
        <v>24.0</v>
      </c>
      <c r="BM6" s="30">
        <v>0.0</v>
      </c>
      <c r="BN6" s="30">
        <v>137.0</v>
      </c>
      <c r="BO6" s="30">
        <v>0.0</v>
      </c>
      <c r="BP6" s="31">
        <v>300.0</v>
      </c>
      <c r="BQ6" s="24">
        <f t="shared" si="13"/>
        <v>525</v>
      </c>
      <c r="BR6" s="32">
        <v>43.0</v>
      </c>
      <c r="BS6" s="30">
        <v>11.0</v>
      </c>
      <c r="BT6" s="31">
        <v>963.0</v>
      </c>
      <c r="BU6" s="24">
        <f t="shared" si="14"/>
        <v>1017</v>
      </c>
    </row>
    <row r="7" ht="21.0" customHeight="1">
      <c r="A7" s="34" t="s">
        <v>74</v>
      </c>
      <c r="B7" s="33">
        <v>446.0</v>
      </c>
      <c r="C7" s="30">
        <v>27.0</v>
      </c>
      <c r="D7" s="31">
        <v>8.0</v>
      </c>
      <c r="E7" s="28">
        <f t="shared" si="1"/>
        <v>481</v>
      </c>
      <c r="F7" s="30">
        <v>68.0</v>
      </c>
      <c r="G7" s="30">
        <v>70.0</v>
      </c>
      <c r="H7" s="30">
        <v>69.0</v>
      </c>
      <c r="I7" s="30">
        <v>71.0</v>
      </c>
      <c r="J7" s="30">
        <v>66.0</v>
      </c>
      <c r="K7" s="30">
        <v>68.0</v>
      </c>
      <c r="L7" s="31">
        <v>69.0</v>
      </c>
      <c r="M7" s="24">
        <f t="shared" si="2"/>
        <v>481</v>
      </c>
      <c r="N7" s="30">
        <v>262.0</v>
      </c>
      <c r="O7" s="31">
        <v>219.0</v>
      </c>
      <c r="P7" s="24">
        <f t="shared" si="3"/>
        <v>481</v>
      </c>
      <c r="Q7" s="30">
        <v>369.0</v>
      </c>
      <c r="R7" s="31">
        <v>112.0</v>
      </c>
      <c r="S7" s="24">
        <f t="shared" si="4"/>
        <v>481</v>
      </c>
      <c r="T7" s="30">
        <v>384.0</v>
      </c>
      <c r="U7" s="30">
        <v>365.0</v>
      </c>
      <c r="V7" s="30">
        <v>7.0</v>
      </c>
      <c r="W7" s="30">
        <v>69.0</v>
      </c>
      <c r="X7" s="30">
        <v>81.0</v>
      </c>
      <c r="Y7" s="30">
        <v>11.0</v>
      </c>
      <c r="Z7" s="31">
        <v>1.0</v>
      </c>
      <c r="AA7" s="24">
        <f t="shared" si="5"/>
        <v>918</v>
      </c>
      <c r="AB7" s="30">
        <v>201.0</v>
      </c>
      <c r="AC7" s="30">
        <v>293.0</v>
      </c>
      <c r="AD7" s="30">
        <v>211.0</v>
      </c>
      <c r="AE7" s="30">
        <v>152.0</v>
      </c>
      <c r="AF7" s="30">
        <v>61.0</v>
      </c>
      <c r="AG7" s="24">
        <f t="shared" si="6"/>
        <v>918</v>
      </c>
      <c r="AH7" s="30">
        <v>635.0</v>
      </c>
      <c r="AI7" s="30">
        <v>283.0</v>
      </c>
      <c r="AJ7" s="24">
        <f t="shared" si="7"/>
        <v>918</v>
      </c>
      <c r="AK7" s="30">
        <v>583.0</v>
      </c>
      <c r="AL7" s="30">
        <v>335.0</v>
      </c>
      <c r="AM7" s="24">
        <f t="shared" si="8"/>
        <v>918</v>
      </c>
      <c r="AN7" s="30">
        <v>907.0</v>
      </c>
      <c r="AO7" s="31">
        <v>11.0</v>
      </c>
      <c r="AP7" s="24">
        <f t="shared" si="9"/>
        <v>918</v>
      </c>
      <c r="AQ7" s="30">
        <v>709.0</v>
      </c>
      <c r="AR7" s="30">
        <v>139.0</v>
      </c>
      <c r="AS7" s="30">
        <v>1.0</v>
      </c>
      <c r="AT7" s="30">
        <v>0.0</v>
      </c>
      <c r="AU7" s="31">
        <v>69.0</v>
      </c>
      <c r="AV7" s="24">
        <f t="shared" si="15"/>
        <v>918</v>
      </c>
      <c r="AW7" s="29">
        <f t="shared" si="10"/>
        <v>69</v>
      </c>
      <c r="AX7" s="30">
        <v>831.0</v>
      </c>
      <c r="AY7" s="31">
        <v>18.0</v>
      </c>
      <c r="AZ7" s="24">
        <f t="shared" si="11"/>
        <v>918</v>
      </c>
      <c r="BA7" s="30">
        <v>416.0</v>
      </c>
      <c r="BB7" s="30">
        <v>0.0</v>
      </c>
      <c r="BC7" s="30">
        <v>3.0</v>
      </c>
      <c r="BD7" s="30">
        <v>0.0</v>
      </c>
      <c r="BE7" s="30">
        <v>2.0</v>
      </c>
      <c r="BF7" s="30">
        <v>28.0</v>
      </c>
      <c r="BG7" s="30">
        <v>31.0</v>
      </c>
      <c r="BH7" s="31">
        <v>1.0</v>
      </c>
      <c r="BI7" s="24">
        <f t="shared" si="12"/>
        <v>481</v>
      </c>
      <c r="BJ7" s="30">
        <v>18.0</v>
      </c>
      <c r="BK7" s="30">
        <v>26.0</v>
      </c>
      <c r="BL7" s="30">
        <v>36.0</v>
      </c>
      <c r="BM7" s="30">
        <v>0.0</v>
      </c>
      <c r="BN7" s="30">
        <v>120.0</v>
      </c>
      <c r="BO7" s="30">
        <v>0.0</v>
      </c>
      <c r="BP7" s="31">
        <v>281.0</v>
      </c>
      <c r="BQ7" s="24">
        <f t="shared" si="13"/>
        <v>481</v>
      </c>
      <c r="BR7" s="32">
        <v>35.0</v>
      </c>
      <c r="BS7" s="30">
        <v>10.0</v>
      </c>
      <c r="BT7" s="31">
        <v>874.0</v>
      </c>
      <c r="BU7" s="24">
        <f t="shared" si="14"/>
        <v>919</v>
      </c>
    </row>
    <row r="8" ht="21.0" customHeight="1">
      <c r="A8" s="24" t="s">
        <v>75</v>
      </c>
      <c r="B8" s="33">
        <v>575.0</v>
      </c>
      <c r="C8" s="30">
        <v>42.0</v>
      </c>
      <c r="D8" s="31">
        <v>15.0</v>
      </c>
      <c r="E8" s="28">
        <f t="shared" si="1"/>
        <v>632</v>
      </c>
      <c r="F8" s="30">
        <v>88.0</v>
      </c>
      <c r="G8" s="30">
        <v>83.0</v>
      </c>
      <c r="H8" s="30">
        <v>82.0</v>
      </c>
      <c r="I8" s="30">
        <v>89.0</v>
      </c>
      <c r="J8" s="30">
        <v>112.0</v>
      </c>
      <c r="K8" s="30">
        <v>93.0</v>
      </c>
      <c r="L8" s="31">
        <v>85.0</v>
      </c>
      <c r="M8" s="24">
        <f t="shared" si="2"/>
        <v>632</v>
      </c>
      <c r="N8" s="30">
        <v>387.0</v>
      </c>
      <c r="O8" s="31">
        <v>245.0</v>
      </c>
      <c r="P8" s="24">
        <f t="shared" si="3"/>
        <v>632</v>
      </c>
      <c r="Q8" s="30">
        <v>501.0</v>
      </c>
      <c r="R8" s="31">
        <v>131.0</v>
      </c>
      <c r="S8" s="24">
        <f t="shared" si="4"/>
        <v>632</v>
      </c>
      <c r="T8" s="30">
        <v>641.0</v>
      </c>
      <c r="U8" s="30">
        <v>440.0</v>
      </c>
      <c r="V8" s="30">
        <v>0.0</v>
      </c>
      <c r="W8" s="30">
        <v>90.0</v>
      </c>
      <c r="X8" s="30">
        <v>10.0</v>
      </c>
      <c r="Y8" s="30">
        <v>1.0</v>
      </c>
      <c r="Z8" s="31">
        <v>497.0</v>
      </c>
      <c r="AA8" s="24">
        <f t="shared" si="5"/>
        <v>1679</v>
      </c>
      <c r="AB8" s="30">
        <v>223.0</v>
      </c>
      <c r="AC8" s="30">
        <v>397.0</v>
      </c>
      <c r="AD8" s="30">
        <v>350.0</v>
      </c>
      <c r="AE8" s="30">
        <v>171.0</v>
      </c>
      <c r="AF8" s="30">
        <v>43.0</v>
      </c>
      <c r="AG8" s="24">
        <f t="shared" si="6"/>
        <v>1184</v>
      </c>
      <c r="AH8" s="30">
        <v>852.0</v>
      </c>
      <c r="AI8" s="30">
        <v>332.0</v>
      </c>
      <c r="AJ8" s="24">
        <f t="shared" si="7"/>
        <v>1184</v>
      </c>
      <c r="AK8" s="30">
        <v>756.0</v>
      </c>
      <c r="AL8" s="30">
        <v>428.0</v>
      </c>
      <c r="AM8" s="24">
        <f t="shared" si="8"/>
        <v>1184</v>
      </c>
      <c r="AN8" s="30">
        <v>1140.0</v>
      </c>
      <c r="AO8" s="31">
        <v>44.0</v>
      </c>
      <c r="AP8" s="24">
        <f t="shared" si="9"/>
        <v>1184</v>
      </c>
      <c r="AQ8" s="30">
        <v>965.0</v>
      </c>
      <c r="AR8" s="30">
        <v>159.0</v>
      </c>
      <c r="AS8" s="30">
        <v>12.0</v>
      </c>
      <c r="AT8" s="30">
        <v>0.0</v>
      </c>
      <c r="AU8" s="31">
        <v>48.0</v>
      </c>
      <c r="AV8" s="24">
        <f t="shared" si="15"/>
        <v>1184</v>
      </c>
      <c r="AW8" s="29">
        <f t="shared" si="10"/>
        <v>48</v>
      </c>
      <c r="AX8" s="30">
        <v>1101.0</v>
      </c>
      <c r="AY8" s="31">
        <v>35.0</v>
      </c>
      <c r="AZ8" s="24">
        <f t="shared" si="11"/>
        <v>1184</v>
      </c>
      <c r="BA8" s="30">
        <v>583.0</v>
      </c>
      <c r="BB8" s="30">
        <v>0.0</v>
      </c>
      <c r="BC8" s="30">
        <v>5.0</v>
      </c>
      <c r="BD8" s="30">
        <v>0.0</v>
      </c>
      <c r="BE8" s="30">
        <v>0.0</v>
      </c>
      <c r="BF8" s="30">
        <v>26.0</v>
      </c>
      <c r="BG8" s="30">
        <v>15.0</v>
      </c>
      <c r="BH8" s="31">
        <v>3.0</v>
      </c>
      <c r="BI8" s="24">
        <f t="shared" si="12"/>
        <v>632</v>
      </c>
      <c r="BJ8" s="30">
        <v>23.0</v>
      </c>
      <c r="BK8" s="30">
        <v>16.0</v>
      </c>
      <c r="BL8" s="30">
        <v>18.0</v>
      </c>
      <c r="BM8" s="30">
        <v>0.0</v>
      </c>
      <c r="BN8" s="30">
        <v>100.0</v>
      </c>
      <c r="BO8" s="30">
        <v>0.0</v>
      </c>
      <c r="BP8" s="31">
        <v>475.0</v>
      </c>
      <c r="BQ8" s="24">
        <f t="shared" si="13"/>
        <v>632</v>
      </c>
      <c r="BR8" s="32">
        <v>53.0</v>
      </c>
      <c r="BS8" s="30">
        <v>15.0</v>
      </c>
      <c r="BT8" s="31">
        <v>1150.0</v>
      </c>
      <c r="BU8" s="24">
        <f t="shared" si="14"/>
        <v>1218</v>
      </c>
    </row>
    <row r="9" ht="21.0" customHeight="1">
      <c r="A9" s="24" t="s">
        <v>76</v>
      </c>
      <c r="B9" s="33">
        <v>598.0</v>
      </c>
      <c r="C9" s="30">
        <v>30.0</v>
      </c>
      <c r="D9" s="31">
        <v>14.0</v>
      </c>
      <c r="E9" s="28">
        <f t="shared" si="1"/>
        <v>642</v>
      </c>
      <c r="F9" s="30">
        <v>89.0</v>
      </c>
      <c r="G9" s="30">
        <v>89.0</v>
      </c>
      <c r="H9" s="30">
        <v>83.0</v>
      </c>
      <c r="I9" s="30">
        <v>101.0</v>
      </c>
      <c r="J9" s="30">
        <v>97.0</v>
      </c>
      <c r="K9" s="30">
        <v>99.0</v>
      </c>
      <c r="L9" s="31">
        <v>84.0</v>
      </c>
      <c r="M9" s="24">
        <f t="shared" si="2"/>
        <v>642</v>
      </c>
      <c r="N9" s="30">
        <v>346.0</v>
      </c>
      <c r="O9" s="31">
        <v>296.0</v>
      </c>
      <c r="P9" s="24">
        <f t="shared" si="3"/>
        <v>642</v>
      </c>
      <c r="Q9" s="30">
        <v>498.0</v>
      </c>
      <c r="R9" s="31">
        <v>144.0</v>
      </c>
      <c r="S9" s="24">
        <f t="shared" si="4"/>
        <v>642</v>
      </c>
      <c r="T9" s="30">
        <v>723.0</v>
      </c>
      <c r="U9" s="30">
        <v>441.0</v>
      </c>
      <c r="V9" s="30">
        <v>0.0</v>
      </c>
      <c r="W9" s="30">
        <v>70.0</v>
      </c>
      <c r="X9" s="30">
        <v>8.0</v>
      </c>
      <c r="Y9" s="30">
        <v>0.0</v>
      </c>
      <c r="Z9" s="31">
        <v>67.0</v>
      </c>
      <c r="AA9" s="24">
        <f t="shared" si="5"/>
        <v>1309</v>
      </c>
      <c r="AB9" s="30">
        <v>186.0</v>
      </c>
      <c r="AC9" s="30">
        <v>381.0</v>
      </c>
      <c r="AD9" s="30">
        <v>344.0</v>
      </c>
      <c r="AE9" s="30">
        <v>182.0</v>
      </c>
      <c r="AF9" s="30">
        <v>160.0</v>
      </c>
      <c r="AG9" s="24">
        <f t="shared" si="6"/>
        <v>1253</v>
      </c>
      <c r="AH9" s="30">
        <v>748.0</v>
      </c>
      <c r="AI9" s="30">
        <v>505.0</v>
      </c>
      <c r="AJ9" s="24">
        <f t="shared" si="7"/>
        <v>1253</v>
      </c>
      <c r="AK9" s="30">
        <v>711.0</v>
      </c>
      <c r="AL9" s="30">
        <v>542.0</v>
      </c>
      <c r="AM9" s="24">
        <f t="shared" si="8"/>
        <v>1253</v>
      </c>
      <c r="AN9" s="30">
        <v>1191.0</v>
      </c>
      <c r="AO9" s="31">
        <v>62.0</v>
      </c>
      <c r="AP9" s="24">
        <f t="shared" si="9"/>
        <v>1253</v>
      </c>
      <c r="AQ9" s="30">
        <v>971.0</v>
      </c>
      <c r="AR9" s="30">
        <v>235.0</v>
      </c>
      <c r="AS9" s="30">
        <v>8.0</v>
      </c>
      <c r="AT9" s="30">
        <v>0.0</v>
      </c>
      <c r="AU9" s="31">
        <v>39.0</v>
      </c>
      <c r="AV9" s="24">
        <f t="shared" si="15"/>
        <v>1253</v>
      </c>
      <c r="AW9" s="29">
        <f t="shared" si="10"/>
        <v>39</v>
      </c>
      <c r="AX9" s="30">
        <v>1194.0</v>
      </c>
      <c r="AY9" s="31">
        <v>20.0</v>
      </c>
      <c r="AZ9" s="24">
        <f t="shared" si="11"/>
        <v>1253</v>
      </c>
      <c r="BA9" s="30">
        <v>586.0</v>
      </c>
      <c r="BB9" s="30">
        <v>0.0</v>
      </c>
      <c r="BC9" s="30">
        <v>8.0</v>
      </c>
      <c r="BD9" s="30">
        <v>0.0</v>
      </c>
      <c r="BE9" s="30">
        <v>1.0</v>
      </c>
      <c r="BF9" s="30">
        <v>29.0</v>
      </c>
      <c r="BG9" s="30">
        <v>16.0</v>
      </c>
      <c r="BH9" s="31">
        <v>2.0</v>
      </c>
      <c r="BI9" s="24">
        <f t="shared" si="12"/>
        <v>642</v>
      </c>
      <c r="BJ9" s="30">
        <v>34.0</v>
      </c>
      <c r="BK9" s="30">
        <v>7.0</v>
      </c>
      <c r="BL9" s="30">
        <v>27.0</v>
      </c>
      <c r="BM9" s="30">
        <v>0.0</v>
      </c>
      <c r="BN9" s="30">
        <v>264.0</v>
      </c>
      <c r="BO9" s="30">
        <v>0.0</v>
      </c>
      <c r="BP9" s="31">
        <v>310.0</v>
      </c>
      <c r="BQ9" s="24">
        <f t="shared" si="13"/>
        <v>642</v>
      </c>
      <c r="BR9" s="32">
        <v>57.0</v>
      </c>
      <c r="BS9" s="30">
        <v>15.0</v>
      </c>
      <c r="BT9" s="31">
        <v>1181.0</v>
      </c>
      <c r="BU9" s="24">
        <f t="shared" si="14"/>
        <v>1253</v>
      </c>
    </row>
    <row r="10" ht="21.0" customHeight="1">
      <c r="A10" s="24" t="s">
        <v>77</v>
      </c>
      <c r="B10" s="33">
        <v>485.0</v>
      </c>
      <c r="C10" s="30">
        <v>42.0</v>
      </c>
      <c r="D10" s="31">
        <v>16.0</v>
      </c>
      <c r="E10" s="28">
        <f t="shared" si="1"/>
        <v>543</v>
      </c>
      <c r="F10" s="30">
        <v>76.0</v>
      </c>
      <c r="G10" s="30">
        <v>94.0</v>
      </c>
      <c r="H10" s="30">
        <v>78.0</v>
      </c>
      <c r="I10" s="30">
        <v>81.0</v>
      </c>
      <c r="J10" s="30">
        <v>78.0</v>
      </c>
      <c r="K10" s="30">
        <v>83.0</v>
      </c>
      <c r="L10" s="31">
        <v>53.0</v>
      </c>
      <c r="M10" s="24">
        <f t="shared" si="2"/>
        <v>543</v>
      </c>
      <c r="N10" s="30">
        <v>301.0</v>
      </c>
      <c r="O10" s="31">
        <v>242.0</v>
      </c>
      <c r="P10" s="24">
        <f t="shared" si="3"/>
        <v>543</v>
      </c>
      <c r="Q10" s="30">
        <v>417.0</v>
      </c>
      <c r="R10" s="31">
        <v>126.0</v>
      </c>
      <c r="S10" s="24">
        <f t="shared" si="4"/>
        <v>543</v>
      </c>
      <c r="T10" s="30">
        <v>558.0</v>
      </c>
      <c r="U10" s="30">
        <v>249.0</v>
      </c>
      <c r="V10" s="30">
        <v>0.0</v>
      </c>
      <c r="W10" s="30">
        <v>43.0</v>
      </c>
      <c r="X10" s="30">
        <v>199.0</v>
      </c>
      <c r="Y10" s="30">
        <v>10.0</v>
      </c>
      <c r="Z10" s="31">
        <v>162.0</v>
      </c>
      <c r="AA10" s="24">
        <f t="shared" si="5"/>
        <v>1221</v>
      </c>
      <c r="AB10" s="30">
        <v>118.0</v>
      </c>
      <c r="AC10" s="30">
        <v>390.0</v>
      </c>
      <c r="AD10" s="30">
        <v>381.0</v>
      </c>
      <c r="AE10" s="30">
        <v>120.0</v>
      </c>
      <c r="AF10" s="30">
        <v>46.0</v>
      </c>
      <c r="AG10" s="24">
        <f t="shared" si="6"/>
        <v>1055</v>
      </c>
      <c r="AH10" s="30">
        <v>766.0</v>
      </c>
      <c r="AI10" s="30">
        <v>289.0</v>
      </c>
      <c r="AJ10" s="24">
        <f t="shared" si="7"/>
        <v>1055</v>
      </c>
      <c r="AK10" s="30">
        <v>658.0</v>
      </c>
      <c r="AL10" s="30">
        <v>397.0</v>
      </c>
      <c r="AM10" s="24">
        <f t="shared" si="8"/>
        <v>1055</v>
      </c>
      <c r="AN10" s="30">
        <v>1036.0</v>
      </c>
      <c r="AO10" s="31">
        <v>19.0</v>
      </c>
      <c r="AP10" s="24">
        <f t="shared" si="9"/>
        <v>1055</v>
      </c>
      <c r="AQ10" s="30">
        <v>729.0</v>
      </c>
      <c r="AR10" s="30">
        <v>283.0</v>
      </c>
      <c r="AS10" s="30">
        <v>10.0</v>
      </c>
      <c r="AT10" s="30">
        <v>0.0</v>
      </c>
      <c r="AU10" s="31">
        <v>33.0</v>
      </c>
      <c r="AV10" s="24">
        <f t="shared" si="15"/>
        <v>1055</v>
      </c>
      <c r="AW10" s="29">
        <f t="shared" si="10"/>
        <v>33</v>
      </c>
      <c r="AX10" s="30">
        <v>1014.0</v>
      </c>
      <c r="AY10" s="31">
        <v>8.0</v>
      </c>
      <c r="AZ10" s="24">
        <f t="shared" si="11"/>
        <v>1055</v>
      </c>
      <c r="BA10" s="30">
        <v>457.0</v>
      </c>
      <c r="BB10" s="30">
        <v>0.0</v>
      </c>
      <c r="BC10" s="30">
        <v>9.0</v>
      </c>
      <c r="BD10" s="30">
        <v>0.0</v>
      </c>
      <c r="BE10" s="30">
        <v>0.0</v>
      </c>
      <c r="BF10" s="30">
        <v>48.0</v>
      </c>
      <c r="BG10" s="30">
        <v>26.0</v>
      </c>
      <c r="BH10" s="31">
        <v>3.0</v>
      </c>
      <c r="BI10" s="24">
        <f t="shared" si="12"/>
        <v>543</v>
      </c>
      <c r="BJ10" s="30">
        <v>27.0</v>
      </c>
      <c r="BK10" s="30">
        <v>34.0</v>
      </c>
      <c r="BL10" s="30">
        <v>30.0</v>
      </c>
      <c r="BM10" s="30">
        <v>0.0</v>
      </c>
      <c r="BN10" s="30">
        <v>93.0</v>
      </c>
      <c r="BO10" s="30">
        <v>0.0</v>
      </c>
      <c r="BP10" s="31">
        <v>359.0</v>
      </c>
      <c r="BQ10" s="24">
        <f t="shared" si="13"/>
        <v>543</v>
      </c>
      <c r="BR10" s="32">
        <v>69.0</v>
      </c>
      <c r="BS10" s="30">
        <v>16.0</v>
      </c>
      <c r="BT10" s="31">
        <v>974.0</v>
      </c>
      <c r="BU10" s="24">
        <f t="shared" si="14"/>
        <v>1059</v>
      </c>
    </row>
    <row r="11" ht="21.0" customHeight="1">
      <c r="A11" s="24" t="s">
        <v>78</v>
      </c>
      <c r="B11" s="33">
        <v>493.0</v>
      </c>
      <c r="C11" s="30">
        <v>44.0</v>
      </c>
      <c r="D11" s="31">
        <v>9.0</v>
      </c>
      <c r="E11" s="28">
        <f t="shared" si="1"/>
        <v>546</v>
      </c>
      <c r="F11" s="30">
        <v>80.0</v>
      </c>
      <c r="G11" s="30">
        <v>67.0</v>
      </c>
      <c r="H11" s="30">
        <v>79.0</v>
      </c>
      <c r="I11" s="30">
        <v>81.0</v>
      </c>
      <c r="J11" s="30">
        <v>85.0</v>
      </c>
      <c r="K11" s="30">
        <v>81.0</v>
      </c>
      <c r="L11" s="31">
        <v>73.0</v>
      </c>
      <c r="M11" s="24">
        <f t="shared" si="2"/>
        <v>546</v>
      </c>
      <c r="N11" s="30">
        <v>387.0</v>
      </c>
      <c r="O11" s="31">
        <v>159.0</v>
      </c>
      <c r="P11" s="24">
        <f t="shared" si="3"/>
        <v>546</v>
      </c>
      <c r="Q11" s="30">
        <v>338.0</v>
      </c>
      <c r="R11" s="31">
        <v>208.0</v>
      </c>
      <c r="S11" s="24">
        <f t="shared" si="4"/>
        <v>546</v>
      </c>
      <c r="T11" s="30">
        <v>643.0</v>
      </c>
      <c r="U11" s="30">
        <v>173.0</v>
      </c>
      <c r="V11" s="30">
        <v>0.0</v>
      </c>
      <c r="W11" s="30">
        <v>34.0</v>
      </c>
      <c r="X11" s="30">
        <v>10.0</v>
      </c>
      <c r="Y11" s="30">
        <v>18.0</v>
      </c>
      <c r="Z11" s="31">
        <v>186.0</v>
      </c>
      <c r="AA11" s="24">
        <f t="shared" si="5"/>
        <v>1064</v>
      </c>
      <c r="AB11" s="30">
        <v>122.0</v>
      </c>
      <c r="AC11" s="30">
        <v>321.0</v>
      </c>
      <c r="AD11" s="30">
        <v>123.0</v>
      </c>
      <c r="AE11" s="30">
        <v>184.0</v>
      </c>
      <c r="AF11" s="30">
        <v>101.0</v>
      </c>
      <c r="AG11" s="24">
        <f t="shared" si="6"/>
        <v>851</v>
      </c>
      <c r="AH11" s="30">
        <v>555.0</v>
      </c>
      <c r="AI11" s="30">
        <v>296.0</v>
      </c>
      <c r="AJ11" s="24">
        <f t="shared" si="7"/>
        <v>851</v>
      </c>
      <c r="AK11" s="30">
        <v>565.0</v>
      </c>
      <c r="AL11" s="30">
        <v>286.0</v>
      </c>
      <c r="AM11" s="24">
        <f t="shared" si="8"/>
        <v>851</v>
      </c>
      <c r="AN11" s="30">
        <v>786.0</v>
      </c>
      <c r="AO11" s="31">
        <v>65.0</v>
      </c>
      <c r="AP11" s="24">
        <f t="shared" si="9"/>
        <v>851</v>
      </c>
      <c r="AQ11" s="30">
        <v>676.0</v>
      </c>
      <c r="AR11" s="30">
        <v>152.0</v>
      </c>
      <c r="AS11" s="30">
        <v>5.0</v>
      </c>
      <c r="AT11" s="30">
        <v>0.0</v>
      </c>
      <c r="AU11" s="31">
        <v>18.0</v>
      </c>
      <c r="AV11" s="24">
        <f t="shared" si="15"/>
        <v>851</v>
      </c>
      <c r="AW11" s="29">
        <f t="shared" si="10"/>
        <v>18</v>
      </c>
      <c r="AX11" s="30">
        <v>820.0</v>
      </c>
      <c r="AY11" s="31">
        <v>13.0</v>
      </c>
      <c r="AZ11" s="24">
        <f t="shared" si="11"/>
        <v>851</v>
      </c>
      <c r="BA11" s="30">
        <v>304.0</v>
      </c>
      <c r="BB11" s="30">
        <v>0.0</v>
      </c>
      <c r="BC11" s="30">
        <v>7.0</v>
      </c>
      <c r="BD11" s="30">
        <v>0.0</v>
      </c>
      <c r="BE11" s="30">
        <v>1.0</v>
      </c>
      <c r="BF11" s="30">
        <v>54.0</v>
      </c>
      <c r="BG11" s="30">
        <v>10.0</v>
      </c>
      <c r="BH11" s="31">
        <v>170.0</v>
      </c>
      <c r="BI11" s="24">
        <f t="shared" si="12"/>
        <v>546</v>
      </c>
      <c r="BJ11" s="30">
        <v>11.0</v>
      </c>
      <c r="BK11" s="30">
        <v>19.0</v>
      </c>
      <c r="BL11" s="30">
        <v>11.0</v>
      </c>
      <c r="BM11" s="30">
        <v>1.0</v>
      </c>
      <c r="BN11" s="30">
        <v>71.0</v>
      </c>
      <c r="BO11" s="30">
        <v>0.0</v>
      </c>
      <c r="BP11" s="31">
        <v>433.0</v>
      </c>
      <c r="BQ11" s="24">
        <f t="shared" si="13"/>
        <v>546</v>
      </c>
      <c r="BR11" s="32">
        <v>48.0</v>
      </c>
      <c r="BS11" s="30">
        <v>11.0</v>
      </c>
      <c r="BT11" s="31">
        <v>816.0</v>
      </c>
      <c r="BU11" s="24">
        <f t="shared" si="14"/>
        <v>875</v>
      </c>
    </row>
    <row r="12" ht="21.0" customHeight="1">
      <c r="A12" s="24" t="s">
        <v>79</v>
      </c>
      <c r="B12" s="33">
        <v>448.0</v>
      </c>
      <c r="C12" s="30">
        <v>40.0</v>
      </c>
      <c r="D12" s="31">
        <v>12.0</v>
      </c>
      <c r="E12" s="28">
        <f t="shared" si="1"/>
        <v>500</v>
      </c>
      <c r="F12" s="30">
        <v>69.0</v>
      </c>
      <c r="G12" s="30">
        <v>64.0</v>
      </c>
      <c r="H12" s="30">
        <v>70.0</v>
      </c>
      <c r="I12" s="30">
        <v>61.0</v>
      </c>
      <c r="J12" s="30">
        <v>81.0</v>
      </c>
      <c r="K12" s="30">
        <v>93.0</v>
      </c>
      <c r="L12" s="31">
        <v>62.0</v>
      </c>
      <c r="M12" s="24">
        <f t="shared" si="2"/>
        <v>500</v>
      </c>
      <c r="N12" s="30">
        <v>309.0</v>
      </c>
      <c r="O12" s="31">
        <v>191.0</v>
      </c>
      <c r="P12" s="24">
        <f t="shared" si="3"/>
        <v>500</v>
      </c>
      <c r="Q12" s="30">
        <v>357.0</v>
      </c>
      <c r="R12" s="31">
        <v>143.0</v>
      </c>
      <c r="S12" s="24">
        <f t="shared" si="4"/>
        <v>500</v>
      </c>
      <c r="T12" s="30">
        <v>200.0</v>
      </c>
      <c r="U12" s="30">
        <v>136.0</v>
      </c>
      <c r="V12" s="30">
        <v>6.0</v>
      </c>
      <c r="W12" s="30">
        <v>35.0</v>
      </c>
      <c r="X12" s="30">
        <v>62.0</v>
      </c>
      <c r="Y12" s="30">
        <v>14.0</v>
      </c>
      <c r="Z12" s="31">
        <v>47.0</v>
      </c>
      <c r="AA12" s="24">
        <f t="shared" si="5"/>
        <v>500</v>
      </c>
      <c r="AB12" s="30">
        <v>120.0</v>
      </c>
      <c r="AC12" s="30">
        <v>445.0</v>
      </c>
      <c r="AD12" s="30">
        <v>203.0</v>
      </c>
      <c r="AE12" s="30">
        <v>107.0</v>
      </c>
      <c r="AF12" s="30">
        <v>45.0</v>
      </c>
      <c r="AG12" s="24">
        <f t="shared" si="6"/>
        <v>920</v>
      </c>
      <c r="AH12" s="30">
        <v>709.0</v>
      </c>
      <c r="AI12" s="30">
        <v>211.0</v>
      </c>
      <c r="AJ12" s="24">
        <f t="shared" si="7"/>
        <v>920</v>
      </c>
      <c r="AK12" s="30">
        <v>599.0</v>
      </c>
      <c r="AL12" s="30">
        <v>321.0</v>
      </c>
      <c r="AM12" s="24">
        <f t="shared" si="8"/>
        <v>920</v>
      </c>
      <c r="AN12" s="30">
        <v>907.0</v>
      </c>
      <c r="AO12" s="31">
        <v>13.0</v>
      </c>
      <c r="AP12" s="24">
        <f t="shared" si="9"/>
        <v>920</v>
      </c>
      <c r="AQ12" s="30">
        <v>794.0</v>
      </c>
      <c r="AR12" s="30">
        <v>101.0</v>
      </c>
      <c r="AS12" s="30">
        <v>0.0</v>
      </c>
      <c r="AT12" s="30">
        <v>0.0</v>
      </c>
      <c r="AU12" s="31">
        <v>25.0</v>
      </c>
      <c r="AV12" s="24">
        <f t="shared" si="15"/>
        <v>920</v>
      </c>
      <c r="AW12" s="29">
        <f t="shared" si="10"/>
        <v>25</v>
      </c>
      <c r="AX12" s="30">
        <v>795.0</v>
      </c>
      <c r="AY12" s="31">
        <v>100.0</v>
      </c>
      <c r="AZ12" s="24">
        <f t="shared" si="11"/>
        <v>920</v>
      </c>
      <c r="BA12" s="30">
        <v>150.0</v>
      </c>
      <c r="BB12" s="30">
        <v>0.0</v>
      </c>
      <c r="BC12" s="30">
        <v>2.0</v>
      </c>
      <c r="BD12" s="30">
        <v>0.0</v>
      </c>
      <c r="BE12" s="30">
        <v>2.0</v>
      </c>
      <c r="BF12" s="30">
        <v>15.0</v>
      </c>
      <c r="BG12" s="30">
        <v>0.0</v>
      </c>
      <c r="BH12" s="31">
        <v>331.0</v>
      </c>
      <c r="BI12" s="24">
        <f t="shared" si="12"/>
        <v>500</v>
      </c>
      <c r="BJ12" s="30">
        <v>23.0</v>
      </c>
      <c r="BK12" s="30">
        <v>13.0</v>
      </c>
      <c r="BL12" s="30">
        <v>10.0</v>
      </c>
      <c r="BM12" s="30">
        <v>2.0</v>
      </c>
      <c r="BN12" s="30">
        <v>140.0</v>
      </c>
      <c r="BO12" s="30">
        <v>0.0</v>
      </c>
      <c r="BP12" s="31">
        <v>312.0</v>
      </c>
      <c r="BQ12" s="24">
        <f t="shared" si="13"/>
        <v>500</v>
      </c>
      <c r="BR12" s="32">
        <v>46.0</v>
      </c>
      <c r="BS12" s="30">
        <v>16.0</v>
      </c>
      <c r="BT12" s="31">
        <v>869.0</v>
      </c>
      <c r="BU12" s="24">
        <f t="shared" si="14"/>
        <v>931</v>
      </c>
    </row>
    <row r="13" ht="21.0" customHeight="1">
      <c r="A13" s="24" t="s">
        <v>80</v>
      </c>
      <c r="B13" s="35">
        <v>532.0</v>
      </c>
      <c r="C13" s="36">
        <v>25.0</v>
      </c>
      <c r="D13" s="37">
        <v>14.0</v>
      </c>
      <c r="E13" s="28">
        <f t="shared" si="1"/>
        <v>571</v>
      </c>
      <c r="F13" s="36">
        <v>81.0</v>
      </c>
      <c r="G13" s="36">
        <v>86.0</v>
      </c>
      <c r="H13" s="36">
        <v>87.0</v>
      </c>
      <c r="I13" s="36">
        <v>82.0</v>
      </c>
      <c r="J13" s="36">
        <v>80.0</v>
      </c>
      <c r="K13" s="36">
        <v>84.0</v>
      </c>
      <c r="L13" s="37">
        <v>71.0</v>
      </c>
      <c r="M13" s="24">
        <f t="shared" si="2"/>
        <v>571</v>
      </c>
      <c r="N13" s="36">
        <v>310.0</v>
      </c>
      <c r="O13" s="37">
        <v>261.0</v>
      </c>
      <c r="P13" s="24">
        <f t="shared" si="3"/>
        <v>571</v>
      </c>
      <c r="Q13" s="30">
        <v>423.0</v>
      </c>
      <c r="R13" s="31">
        <v>148.0</v>
      </c>
      <c r="S13" s="24">
        <f t="shared" si="4"/>
        <v>571</v>
      </c>
      <c r="T13" s="30">
        <v>634.0</v>
      </c>
      <c r="U13" s="30">
        <v>404.0</v>
      </c>
      <c r="V13" s="30">
        <v>4.0</v>
      </c>
      <c r="W13" s="30">
        <v>34.0</v>
      </c>
      <c r="X13" s="30">
        <v>23.0</v>
      </c>
      <c r="Y13" s="30">
        <v>4.0</v>
      </c>
      <c r="Z13" s="31">
        <v>1106.0</v>
      </c>
      <c r="AA13" s="24">
        <f t="shared" si="5"/>
        <v>2209</v>
      </c>
      <c r="AB13" s="30">
        <v>173.0</v>
      </c>
      <c r="AC13" s="30">
        <v>421.0</v>
      </c>
      <c r="AD13" s="30">
        <v>290.0</v>
      </c>
      <c r="AE13" s="30">
        <v>165.0</v>
      </c>
      <c r="AF13" s="30">
        <v>57.0</v>
      </c>
      <c r="AG13" s="24">
        <f t="shared" si="6"/>
        <v>1106</v>
      </c>
      <c r="AH13" s="30">
        <v>736.0</v>
      </c>
      <c r="AI13" s="30">
        <v>370.0</v>
      </c>
      <c r="AJ13" s="24">
        <f t="shared" si="7"/>
        <v>1106</v>
      </c>
      <c r="AK13" s="30">
        <v>788.0</v>
      </c>
      <c r="AL13" s="30">
        <v>318.0</v>
      </c>
      <c r="AM13" s="24">
        <f t="shared" si="8"/>
        <v>1106</v>
      </c>
      <c r="AN13" s="30">
        <v>1105.0</v>
      </c>
      <c r="AO13" s="31">
        <v>1.0</v>
      </c>
      <c r="AP13" s="24">
        <f t="shared" si="9"/>
        <v>1106</v>
      </c>
      <c r="AQ13" s="30">
        <v>805.0</v>
      </c>
      <c r="AR13" s="30">
        <v>180.0</v>
      </c>
      <c r="AS13" s="30">
        <v>6.0</v>
      </c>
      <c r="AT13" s="30">
        <v>0.0</v>
      </c>
      <c r="AU13" s="31">
        <v>115.0</v>
      </c>
      <c r="AV13" s="24">
        <f t="shared" si="15"/>
        <v>1106</v>
      </c>
      <c r="AW13" s="29">
        <f t="shared" si="10"/>
        <v>115</v>
      </c>
      <c r="AX13" s="30">
        <v>932.0</v>
      </c>
      <c r="AY13" s="31">
        <v>59.0</v>
      </c>
      <c r="AZ13" s="24">
        <f t="shared" si="11"/>
        <v>1106</v>
      </c>
      <c r="BA13" s="30">
        <v>474.0</v>
      </c>
      <c r="BB13" s="30">
        <v>0.0</v>
      </c>
      <c r="BC13" s="30">
        <v>10.0</v>
      </c>
      <c r="BD13" s="30">
        <v>0.0</v>
      </c>
      <c r="BE13" s="30">
        <v>15.0</v>
      </c>
      <c r="BF13" s="30">
        <v>54.0</v>
      </c>
      <c r="BG13" s="30">
        <v>16.0</v>
      </c>
      <c r="BH13" s="31">
        <v>2.0</v>
      </c>
      <c r="BI13" s="24">
        <f t="shared" si="12"/>
        <v>571</v>
      </c>
      <c r="BJ13" s="36">
        <v>24.0</v>
      </c>
      <c r="BK13" s="36">
        <v>14.0</v>
      </c>
      <c r="BL13" s="36">
        <v>14.0</v>
      </c>
      <c r="BM13" s="36">
        <v>3.0</v>
      </c>
      <c r="BN13" s="36">
        <v>82.0</v>
      </c>
      <c r="BO13" s="36">
        <v>0.0</v>
      </c>
      <c r="BP13" s="37">
        <v>434.0</v>
      </c>
      <c r="BQ13" s="38">
        <f t="shared" si="13"/>
        <v>571</v>
      </c>
      <c r="BR13" s="39">
        <v>52.0</v>
      </c>
      <c r="BS13" s="36">
        <v>18.0</v>
      </c>
      <c r="BT13" s="37">
        <v>1066.0</v>
      </c>
      <c r="BU13" s="38">
        <f t="shared" si="14"/>
        <v>1136</v>
      </c>
    </row>
    <row r="14" ht="21.0" customHeight="1">
      <c r="A14" s="24" t="s">
        <v>47</v>
      </c>
      <c r="B14" s="40">
        <f t="shared" ref="B14:L14" si="16">SUM(B2:B13)</f>
        <v>5916</v>
      </c>
      <c r="C14" s="41">
        <f t="shared" si="16"/>
        <v>348</v>
      </c>
      <c r="D14" s="41">
        <f t="shared" si="16"/>
        <v>153</v>
      </c>
      <c r="E14" s="42">
        <f t="shared" si="16"/>
        <v>6417</v>
      </c>
      <c r="F14" s="41">
        <f t="shared" si="16"/>
        <v>905</v>
      </c>
      <c r="G14" s="41">
        <f t="shared" si="16"/>
        <v>952</v>
      </c>
      <c r="H14" s="41">
        <f t="shared" si="16"/>
        <v>912</v>
      </c>
      <c r="I14" s="41">
        <f t="shared" si="16"/>
        <v>956</v>
      </c>
      <c r="J14" s="41">
        <f t="shared" si="16"/>
        <v>961</v>
      </c>
      <c r="K14" s="41">
        <f t="shared" si="16"/>
        <v>949</v>
      </c>
      <c r="L14" s="41">
        <f t="shared" si="16"/>
        <v>782</v>
      </c>
      <c r="M14" s="24">
        <f t="shared" si="2"/>
        <v>6417</v>
      </c>
      <c r="N14" s="41">
        <f t="shared" ref="N14:BT14" si="17">SUM(N2:N13)</f>
        <v>3815</v>
      </c>
      <c r="O14" s="41">
        <f t="shared" si="17"/>
        <v>2602</v>
      </c>
      <c r="P14" s="24">
        <f t="shared" si="17"/>
        <v>6417</v>
      </c>
      <c r="Q14" s="41">
        <f t="shared" si="17"/>
        <v>4817</v>
      </c>
      <c r="R14" s="43">
        <f t="shared" si="17"/>
        <v>1600</v>
      </c>
      <c r="S14" s="24">
        <f t="shared" si="17"/>
        <v>6417</v>
      </c>
      <c r="T14" s="41">
        <f t="shared" si="17"/>
        <v>6210</v>
      </c>
      <c r="U14" s="41">
        <f t="shared" si="17"/>
        <v>4095</v>
      </c>
      <c r="V14" s="41">
        <f t="shared" si="17"/>
        <v>19</v>
      </c>
      <c r="W14" s="41">
        <f t="shared" si="17"/>
        <v>627</v>
      </c>
      <c r="X14" s="41">
        <f t="shared" si="17"/>
        <v>609</v>
      </c>
      <c r="Y14" s="41">
        <f t="shared" si="17"/>
        <v>96</v>
      </c>
      <c r="Z14" s="41">
        <f t="shared" si="17"/>
        <v>2621</v>
      </c>
      <c r="AA14" s="24">
        <f t="shared" si="17"/>
        <v>14277</v>
      </c>
      <c r="AB14" s="24">
        <f t="shared" si="17"/>
        <v>2010</v>
      </c>
      <c r="AC14" s="41">
        <f t="shared" si="17"/>
        <v>4268</v>
      </c>
      <c r="AD14" s="41">
        <f t="shared" si="17"/>
        <v>3459</v>
      </c>
      <c r="AE14" s="41">
        <f t="shared" si="17"/>
        <v>1636</v>
      </c>
      <c r="AF14" s="41">
        <f t="shared" si="17"/>
        <v>869</v>
      </c>
      <c r="AG14" s="24">
        <f t="shared" si="17"/>
        <v>12242</v>
      </c>
      <c r="AH14" s="41">
        <f t="shared" si="17"/>
        <v>8542</v>
      </c>
      <c r="AI14" s="41">
        <f t="shared" si="17"/>
        <v>3700</v>
      </c>
      <c r="AJ14" s="24">
        <f t="shared" si="17"/>
        <v>12242</v>
      </c>
      <c r="AK14" s="41">
        <f t="shared" si="17"/>
        <v>7647</v>
      </c>
      <c r="AL14" s="41">
        <f t="shared" si="17"/>
        <v>4595</v>
      </c>
      <c r="AM14" s="24">
        <f t="shared" si="17"/>
        <v>12242</v>
      </c>
      <c r="AN14" s="41">
        <f t="shared" si="17"/>
        <v>11849</v>
      </c>
      <c r="AO14" s="43">
        <f t="shared" si="17"/>
        <v>393</v>
      </c>
      <c r="AP14" s="24">
        <f t="shared" si="17"/>
        <v>12242</v>
      </c>
      <c r="AQ14" s="41">
        <f t="shared" si="17"/>
        <v>9465</v>
      </c>
      <c r="AR14" s="41">
        <f t="shared" si="17"/>
        <v>2159</v>
      </c>
      <c r="AS14" s="41">
        <f t="shared" si="17"/>
        <v>61</v>
      </c>
      <c r="AT14" s="41">
        <f t="shared" si="17"/>
        <v>0</v>
      </c>
      <c r="AU14" s="43">
        <f t="shared" si="17"/>
        <v>557</v>
      </c>
      <c r="AV14" s="24">
        <f t="shared" si="17"/>
        <v>12242</v>
      </c>
      <c r="AW14" s="40">
        <f t="shared" si="17"/>
        <v>557</v>
      </c>
      <c r="AX14" s="41">
        <f t="shared" si="17"/>
        <v>11338</v>
      </c>
      <c r="AY14" s="43">
        <f t="shared" si="17"/>
        <v>347</v>
      </c>
      <c r="AZ14" s="24">
        <f t="shared" si="17"/>
        <v>12242</v>
      </c>
      <c r="BA14" s="44">
        <f t="shared" si="17"/>
        <v>5173</v>
      </c>
      <c r="BB14" s="44">
        <f t="shared" si="17"/>
        <v>13</v>
      </c>
      <c r="BC14" s="44">
        <f t="shared" si="17"/>
        <v>91</v>
      </c>
      <c r="BD14" s="44">
        <f t="shared" si="17"/>
        <v>3</v>
      </c>
      <c r="BE14" s="44">
        <f t="shared" si="17"/>
        <v>28</v>
      </c>
      <c r="BF14" s="44">
        <f t="shared" si="17"/>
        <v>383</v>
      </c>
      <c r="BG14" s="44">
        <f t="shared" si="17"/>
        <v>184</v>
      </c>
      <c r="BH14" s="44">
        <f t="shared" si="17"/>
        <v>542</v>
      </c>
      <c r="BI14" s="24">
        <f t="shared" si="17"/>
        <v>6417</v>
      </c>
      <c r="BJ14" s="24">
        <f t="shared" si="17"/>
        <v>274</v>
      </c>
      <c r="BK14" s="24">
        <f t="shared" si="17"/>
        <v>246</v>
      </c>
      <c r="BL14" s="24">
        <f t="shared" si="17"/>
        <v>247</v>
      </c>
      <c r="BM14" s="24">
        <f t="shared" si="17"/>
        <v>22</v>
      </c>
      <c r="BN14" s="24">
        <f t="shared" si="17"/>
        <v>1324</v>
      </c>
      <c r="BO14" s="24">
        <f t="shared" si="17"/>
        <v>0</v>
      </c>
      <c r="BP14" s="24">
        <f t="shared" si="17"/>
        <v>4304</v>
      </c>
      <c r="BQ14" s="24">
        <f t="shared" si="17"/>
        <v>6417</v>
      </c>
      <c r="BR14" s="42">
        <f t="shared" si="17"/>
        <v>574</v>
      </c>
      <c r="BS14" s="24">
        <f t="shared" si="17"/>
        <v>176</v>
      </c>
      <c r="BT14" s="24">
        <f t="shared" si="17"/>
        <v>11591</v>
      </c>
      <c r="BU14" s="24">
        <f t="shared" si="14"/>
        <v>12341</v>
      </c>
    </row>
    <row r="15" ht="12.75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3" width="8.0"/>
  </cols>
  <sheetData>
    <row r="1" ht="124.5" customHeight="1">
      <c r="A1" s="2" t="s">
        <v>1</v>
      </c>
      <c r="B1" s="3" t="s">
        <v>2</v>
      </c>
      <c r="C1" s="3" t="s">
        <v>3</v>
      </c>
      <c r="D1" s="4" t="s">
        <v>4</v>
      </c>
      <c r="E1" s="5" t="s">
        <v>5</v>
      </c>
      <c r="F1" s="2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6" t="s">
        <v>13</v>
      </c>
      <c r="N1" s="2" t="s">
        <v>14</v>
      </c>
      <c r="O1" s="3" t="s">
        <v>15</v>
      </c>
      <c r="P1" s="6" t="s">
        <v>16</v>
      </c>
      <c r="Q1" s="2" t="s">
        <v>17</v>
      </c>
      <c r="R1" s="3" t="s">
        <v>18</v>
      </c>
      <c r="S1" s="6" t="s">
        <v>19</v>
      </c>
      <c r="T1" s="2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6" t="s">
        <v>27</v>
      </c>
      <c r="AB1" s="2">
        <v>-18.0</v>
      </c>
      <c r="AC1" s="3" t="s">
        <v>28</v>
      </c>
      <c r="AD1" s="3" t="s">
        <v>29</v>
      </c>
      <c r="AE1" s="3" t="s">
        <v>30</v>
      </c>
      <c r="AF1" s="3" t="s">
        <v>31</v>
      </c>
      <c r="AG1" s="6" t="s">
        <v>32</v>
      </c>
      <c r="AH1" s="2" t="s">
        <v>33</v>
      </c>
      <c r="AI1" s="3" t="s">
        <v>34</v>
      </c>
      <c r="AJ1" s="6" t="s">
        <v>35</v>
      </c>
      <c r="AK1" s="2" t="s">
        <v>36</v>
      </c>
      <c r="AL1" s="3" t="s">
        <v>37</v>
      </c>
      <c r="AM1" s="6" t="s">
        <v>38</v>
      </c>
      <c r="AN1" s="2" t="s">
        <v>39</v>
      </c>
      <c r="AO1" s="3" t="s">
        <v>40</v>
      </c>
      <c r="AP1" s="6" t="s">
        <v>41</v>
      </c>
      <c r="AQ1" s="2" t="s">
        <v>42</v>
      </c>
      <c r="AR1" s="3" t="s">
        <v>43</v>
      </c>
      <c r="AS1" s="3" t="s">
        <v>44</v>
      </c>
      <c r="AT1" s="3" t="s">
        <v>45</v>
      </c>
      <c r="AU1" s="7" t="s">
        <v>46</v>
      </c>
      <c r="AV1" s="8" t="s">
        <v>47</v>
      </c>
      <c r="AW1" s="9" t="s">
        <v>46</v>
      </c>
      <c r="AX1" s="3" t="s">
        <v>48</v>
      </c>
      <c r="AY1" s="3" t="s">
        <v>49</v>
      </c>
      <c r="AZ1" s="10" t="s">
        <v>47</v>
      </c>
      <c r="BA1" s="11" t="s">
        <v>50</v>
      </c>
      <c r="BB1" s="12" t="s">
        <v>51</v>
      </c>
      <c r="BC1" s="12" t="s">
        <v>52</v>
      </c>
      <c r="BD1" s="12" t="s">
        <v>53</v>
      </c>
      <c r="BE1" s="13" t="s">
        <v>54</v>
      </c>
      <c r="BF1" s="14" t="s">
        <v>55</v>
      </c>
      <c r="BG1" s="14" t="s">
        <v>56</v>
      </c>
      <c r="BH1" s="15" t="s">
        <v>57</v>
      </c>
      <c r="BI1" s="16" t="s">
        <v>47</v>
      </c>
      <c r="BJ1" s="16" t="s">
        <v>58</v>
      </c>
      <c r="BK1" s="17" t="s">
        <v>59</v>
      </c>
      <c r="BL1" s="18" t="s">
        <v>60</v>
      </c>
      <c r="BM1" s="18" t="s">
        <v>61</v>
      </c>
      <c r="BN1" s="18" t="s">
        <v>62</v>
      </c>
      <c r="BO1" s="18" t="s">
        <v>63</v>
      </c>
      <c r="BP1" s="18" t="s">
        <v>26</v>
      </c>
      <c r="BQ1" s="19" t="s">
        <v>64</v>
      </c>
      <c r="BR1" s="20" t="s">
        <v>65</v>
      </c>
      <c r="BS1" s="21" t="s">
        <v>66</v>
      </c>
      <c r="BT1" s="18" t="s">
        <v>67</v>
      </c>
      <c r="BU1" s="22" t="s">
        <v>68</v>
      </c>
    </row>
    <row r="2" ht="21.0" customHeight="1">
      <c r="A2" s="24" t="s">
        <v>69</v>
      </c>
      <c r="B2" s="25">
        <v>631.0</v>
      </c>
      <c r="C2" s="26">
        <v>77.0</v>
      </c>
      <c r="D2" s="27">
        <v>29.0</v>
      </c>
      <c r="E2" s="28">
        <f t="shared" ref="E2:E13" si="1">SUM(B2:D2)</f>
        <v>737</v>
      </c>
      <c r="F2" s="26">
        <v>89.0</v>
      </c>
      <c r="G2" s="26">
        <v>118.0</v>
      </c>
      <c r="H2" s="26">
        <v>116.0</v>
      </c>
      <c r="I2" s="26">
        <v>113.0</v>
      </c>
      <c r="J2" s="26">
        <v>104.0</v>
      </c>
      <c r="K2" s="26">
        <v>101.0</v>
      </c>
      <c r="L2" s="27">
        <v>96.0</v>
      </c>
      <c r="M2" s="24">
        <f t="shared" ref="M2:M9" si="2">F2+G2+H2+I2+J2+K2+L2</f>
        <v>737</v>
      </c>
      <c r="N2" s="26">
        <v>402.0</v>
      </c>
      <c r="O2" s="27">
        <v>335.0</v>
      </c>
      <c r="P2" s="24">
        <f t="shared" ref="P2:P13" si="3">SUM(N2:O2)</f>
        <v>737</v>
      </c>
      <c r="Q2" s="26">
        <v>421.0</v>
      </c>
      <c r="R2" s="27">
        <v>316.0</v>
      </c>
      <c r="S2" s="24">
        <f t="shared" ref="S2:S13" si="4">SUM(Q2:R2)</f>
        <v>737</v>
      </c>
      <c r="T2" s="26">
        <v>206.0</v>
      </c>
      <c r="U2" s="26">
        <v>244.0</v>
      </c>
      <c r="V2" s="26">
        <v>2.0</v>
      </c>
      <c r="W2" s="26">
        <v>1.0</v>
      </c>
      <c r="X2" s="26">
        <v>160.0</v>
      </c>
      <c r="Y2" s="26">
        <v>1.0</v>
      </c>
      <c r="Z2" s="27">
        <v>123.0</v>
      </c>
      <c r="AA2" s="24">
        <f t="shared" ref="AA2:AA13" si="5">SUM(T2:Z2)</f>
        <v>737</v>
      </c>
      <c r="AB2" s="26">
        <v>70.0</v>
      </c>
      <c r="AC2" s="26">
        <v>420.0</v>
      </c>
      <c r="AD2" s="26">
        <v>341.0</v>
      </c>
      <c r="AE2" s="26">
        <v>166.0</v>
      </c>
      <c r="AF2" s="26">
        <v>108.0</v>
      </c>
      <c r="AG2" s="24">
        <f t="shared" ref="AG2:AG13" si="6">SUM(AB2:AF2)</f>
        <v>1105</v>
      </c>
      <c r="AH2" s="26">
        <v>722.0</v>
      </c>
      <c r="AI2" s="26">
        <v>383.0</v>
      </c>
      <c r="AJ2" s="24">
        <f t="shared" ref="AJ2:AJ13" si="7">SUM(AH2:AI2)</f>
        <v>1105</v>
      </c>
      <c r="AK2" s="26">
        <v>488.0</v>
      </c>
      <c r="AL2" s="26">
        <v>617.0</v>
      </c>
      <c r="AM2" s="24">
        <f t="shared" ref="AM2:AM13" si="8">SUM(AK2:AL2)</f>
        <v>1105</v>
      </c>
      <c r="AN2" s="26">
        <v>1103.0</v>
      </c>
      <c r="AO2" s="27">
        <v>2.0</v>
      </c>
      <c r="AP2" s="24">
        <f t="shared" ref="AP2:AP13" si="9">SUM(AN2:AO2)</f>
        <v>1105</v>
      </c>
      <c r="AQ2" s="26">
        <v>971.0</v>
      </c>
      <c r="AR2" s="26">
        <v>125.0</v>
      </c>
      <c r="AS2" s="26">
        <v>0.0</v>
      </c>
      <c r="AT2" s="26">
        <v>6.0</v>
      </c>
      <c r="AU2" s="27">
        <v>3.0</v>
      </c>
      <c r="AV2" s="24">
        <f>+AQ2+AR2+AS2+AT2+AU2</f>
        <v>1105</v>
      </c>
      <c r="AW2" s="29">
        <f t="shared" ref="AW2:AW13" si="10">AU2</f>
        <v>3</v>
      </c>
      <c r="AX2" s="26">
        <v>1100.0</v>
      </c>
      <c r="AY2" s="27">
        <v>2.0</v>
      </c>
      <c r="AZ2" s="24">
        <f t="shared" ref="AZ2:AZ13" si="11">SUM(AW2:AY2)</f>
        <v>1105</v>
      </c>
      <c r="BA2" s="30">
        <v>368.0</v>
      </c>
      <c r="BB2" s="30">
        <v>8.0</v>
      </c>
      <c r="BC2" s="30">
        <v>1.0</v>
      </c>
      <c r="BD2" s="30">
        <v>0.0</v>
      </c>
      <c r="BE2" s="30">
        <v>5.0</v>
      </c>
      <c r="BF2" s="30">
        <v>104.0</v>
      </c>
      <c r="BG2" s="30">
        <v>88.0</v>
      </c>
      <c r="BH2" s="31">
        <v>163.0</v>
      </c>
      <c r="BI2" s="24">
        <f t="shared" ref="BI2:BI13" si="12">SUM(BA2:BH2)</f>
        <v>737</v>
      </c>
      <c r="BJ2" s="30">
        <v>15.0</v>
      </c>
      <c r="BK2" s="30">
        <v>9.0</v>
      </c>
      <c r="BL2" s="30">
        <v>6.0</v>
      </c>
      <c r="BM2" s="30">
        <v>0.0</v>
      </c>
      <c r="BN2" s="30">
        <v>244.0</v>
      </c>
      <c r="BO2" s="30">
        <v>0.0</v>
      </c>
      <c r="BP2" s="31">
        <v>463.0</v>
      </c>
      <c r="BQ2" s="24">
        <f t="shared" ref="BQ2:BQ13" si="13">SUM(BJ2:BP2)</f>
        <v>737</v>
      </c>
      <c r="BR2" s="32">
        <v>97.0</v>
      </c>
      <c r="BS2" s="30">
        <v>34.0</v>
      </c>
      <c r="BT2" s="31">
        <v>974.0</v>
      </c>
      <c r="BU2" s="24">
        <f t="shared" ref="BU2:BU13" si="14">SUM(BR2:BT2)</f>
        <v>1105</v>
      </c>
    </row>
    <row r="3" ht="21.0" customHeight="1">
      <c r="A3" s="24" t="s">
        <v>70</v>
      </c>
      <c r="B3" s="33">
        <v>880.0</v>
      </c>
      <c r="C3" s="30">
        <v>75.0</v>
      </c>
      <c r="D3" s="31">
        <v>28.0</v>
      </c>
      <c r="E3" s="28">
        <f t="shared" si="1"/>
        <v>983</v>
      </c>
      <c r="F3" s="30">
        <v>122.0</v>
      </c>
      <c r="G3" s="30">
        <v>161.0</v>
      </c>
      <c r="H3" s="30">
        <v>151.0</v>
      </c>
      <c r="I3" s="30">
        <v>146.0</v>
      </c>
      <c r="J3" s="30">
        <v>140.0</v>
      </c>
      <c r="K3" s="30">
        <v>138.0</v>
      </c>
      <c r="L3" s="31">
        <v>125.0</v>
      </c>
      <c r="M3" s="24">
        <f t="shared" si="2"/>
        <v>983</v>
      </c>
      <c r="N3" s="30">
        <v>570.0</v>
      </c>
      <c r="O3" s="31">
        <v>413.0</v>
      </c>
      <c r="P3" s="24">
        <f t="shared" si="3"/>
        <v>983</v>
      </c>
      <c r="Q3" s="30">
        <v>599.0</v>
      </c>
      <c r="R3" s="31">
        <v>384.0</v>
      </c>
      <c r="S3" s="24">
        <f t="shared" si="4"/>
        <v>983</v>
      </c>
      <c r="T3" s="30">
        <v>402.0</v>
      </c>
      <c r="U3" s="30">
        <v>320.0</v>
      </c>
      <c r="V3" s="30">
        <v>1.0</v>
      </c>
      <c r="W3" s="30">
        <v>3.0</v>
      </c>
      <c r="X3" s="30">
        <v>106.0</v>
      </c>
      <c r="Y3" s="30">
        <v>3.0</v>
      </c>
      <c r="Z3" s="31">
        <v>148.0</v>
      </c>
      <c r="AA3" s="24">
        <f t="shared" si="5"/>
        <v>983</v>
      </c>
      <c r="AB3" s="30">
        <v>103.0</v>
      </c>
      <c r="AC3" s="30">
        <v>491.0</v>
      </c>
      <c r="AD3" s="30">
        <v>388.0</v>
      </c>
      <c r="AE3" s="30">
        <v>294.0</v>
      </c>
      <c r="AF3" s="30">
        <v>198.0</v>
      </c>
      <c r="AG3" s="24">
        <f t="shared" si="6"/>
        <v>1474</v>
      </c>
      <c r="AH3" s="30">
        <v>1003.0</v>
      </c>
      <c r="AI3" s="30">
        <v>471.0</v>
      </c>
      <c r="AJ3" s="24">
        <f t="shared" si="7"/>
        <v>1474</v>
      </c>
      <c r="AK3" s="30">
        <v>878.0</v>
      </c>
      <c r="AL3" s="30">
        <v>596.0</v>
      </c>
      <c r="AM3" s="24">
        <f t="shared" si="8"/>
        <v>1474</v>
      </c>
      <c r="AN3" s="30">
        <v>1470.0</v>
      </c>
      <c r="AO3" s="31">
        <v>4.0</v>
      </c>
      <c r="AP3" s="24">
        <f t="shared" si="9"/>
        <v>1474</v>
      </c>
      <c r="AQ3" s="30">
        <v>1236.0</v>
      </c>
      <c r="AR3" s="30">
        <v>214.0</v>
      </c>
      <c r="AS3" s="30">
        <v>0.0</v>
      </c>
      <c r="AT3" s="30">
        <v>4.0</v>
      </c>
      <c r="AU3" s="31">
        <v>20.0</v>
      </c>
      <c r="AV3" s="24">
        <f t="shared" ref="AV3:AV13" si="15">SUM(AQ3:AU3)</f>
        <v>1474</v>
      </c>
      <c r="AW3" s="29">
        <f t="shared" si="10"/>
        <v>20</v>
      </c>
      <c r="AX3" s="30">
        <v>1442.0</v>
      </c>
      <c r="AY3" s="31">
        <v>12.0</v>
      </c>
      <c r="AZ3" s="24">
        <f t="shared" si="11"/>
        <v>1474</v>
      </c>
      <c r="BA3" s="30">
        <v>491.0</v>
      </c>
      <c r="BB3" s="30">
        <v>54.0</v>
      </c>
      <c r="BC3" s="30">
        <v>2.0</v>
      </c>
      <c r="BD3" s="30">
        <v>1.0</v>
      </c>
      <c r="BE3" s="30">
        <v>33.0</v>
      </c>
      <c r="BF3" s="30">
        <v>105.0</v>
      </c>
      <c r="BG3" s="30">
        <v>91.0</v>
      </c>
      <c r="BH3" s="31">
        <v>206.0</v>
      </c>
      <c r="BI3" s="24">
        <f t="shared" si="12"/>
        <v>983</v>
      </c>
      <c r="BJ3" s="30">
        <v>61.0</v>
      </c>
      <c r="BK3" s="30">
        <v>54.0</v>
      </c>
      <c r="BL3" s="30">
        <v>30.0</v>
      </c>
      <c r="BM3" s="30">
        <v>1.0</v>
      </c>
      <c r="BN3" s="30">
        <v>370.0</v>
      </c>
      <c r="BO3" s="30">
        <v>0.0</v>
      </c>
      <c r="BP3" s="31">
        <v>467.0</v>
      </c>
      <c r="BQ3" s="24">
        <f t="shared" si="13"/>
        <v>983</v>
      </c>
      <c r="BR3" s="32">
        <v>85.0</v>
      </c>
      <c r="BS3" s="30">
        <v>33.0</v>
      </c>
      <c r="BT3" s="31">
        <v>1356.0</v>
      </c>
      <c r="BU3" s="24">
        <f t="shared" si="14"/>
        <v>1474</v>
      </c>
    </row>
    <row r="4" ht="21.0" customHeight="1">
      <c r="A4" s="24" t="s">
        <v>71</v>
      </c>
      <c r="B4" s="33">
        <v>913.0</v>
      </c>
      <c r="C4" s="30">
        <v>71.0</v>
      </c>
      <c r="D4" s="31">
        <v>17.0</v>
      </c>
      <c r="E4" s="28">
        <f t="shared" si="1"/>
        <v>1001</v>
      </c>
      <c r="F4" s="30">
        <v>131.0</v>
      </c>
      <c r="G4" s="30">
        <v>156.0</v>
      </c>
      <c r="H4" s="30">
        <v>150.0</v>
      </c>
      <c r="I4" s="30">
        <v>146.0</v>
      </c>
      <c r="J4" s="30">
        <v>144.0</v>
      </c>
      <c r="K4" s="30">
        <v>149.0</v>
      </c>
      <c r="L4" s="31">
        <v>125.0</v>
      </c>
      <c r="M4" s="24">
        <f t="shared" si="2"/>
        <v>1001</v>
      </c>
      <c r="N4" s="30">
        <v>603.0</v>
      </c>
      <c r="O4" s="31">
        <v>398.0</v>
      </c>
      <c r="P4" s="24">
        <f t="shared" si="3"/>
        <v>1001</v>
      </c>
      <c r="Q4" s="30">
        <v>603.0</v>
      </c>
      <c r="R4" s="31">
        <v>398.0</v>
      </c>
      <c r="S4" s="24">
        <f t="shared" si="4"/>
        <v>1001</v>
      </c>
      <c r="T4" s="30">
        <v>321.0</v>
      </c>
      <c r="U4" s="30">
        <v>260.0</v>
      </c>
      <c r="V4" s="30">
        <v>3.0</v>
      </c>
      <c r="W4" s="30">
        <v>4.0</v>
      </c>
      <c r="X4" s="30">
        <v>290.0</v>
      </c>
      <c r="Y4" s="30">
        <v>2.0</v>
      </c>
      <c r="Z4" s="31">
        <v>121.0</v>
      </c>
      <c r="AA4" s="24">
        <f t="shared" si="5"/>
        <v>1001</v>
      </c>
      <c r="AB4" s="30">
        <v>81.0</v>
      </c>
      <c r="AC4" s="30">
        <v>530.0</v>
      </c>
      <c r="AD4" s="30">
        <v>480.0</v>
      </c>
      <c r="AE4" s="30">
        <v>263.0</v>
      </c>
      <c r="AF4" s="30">
        <v>147.0</v>
      </c>
      <c r="AG4" s="24">
        <f t="shared" si="6"/>
        <v>1501</v>
      </c>
      <c r="AH4" s="30">
        <v>1020.0</v>
      </c>
      <c r="AI4" s="30">
        <v>481.0</v>
      </c>
      <c r="AJ4" s="24">
        <f t="shared" si="7"/>
        <v>1501</v>
      </c>
      <c r="AK4" s="30">
        <v>870.0</v>
      </c>
      <c r="AL4" s="30">
        <v>631.0</v>
      </c>
      <c r="AM4" s="24">
        <f t="shared" si="8"/>
        <v>1501</v>
      </c>
      <c r="AN4" s="30">
        <v>1496.0</v>
      </c>
      <c r="AO4" s="31">
        <v>5.0</v>
      </c>
      <c r="AP4" s="24">
        <f t="shared" si="9"/>
        <v>1501</v>
      </c>
      <c r="AQ4" s="30">
        <v>1307.0</v>
      </c>
      <c r="AR4" s="30">
        <v>159.0</v>
      </c>
      <c r="AS4" s="30">
        <v>2.0</v>
      </c>
      <c r="AT4" s="30">
        <v>19.0</v>
      </c>
      <c r="AU4" s="31">
        <v>14.0</v>
      </c>
      <c r="AV4" s="24">
        <f t="shared" si="15"/>
        <v>1501</v>
      </c>
      <c r="AW4" s="29">
        <f t="shared" si="10"/>
        <v>14</v>
      </c>
      <c r="AX4" s="30">
        <v>1450.0</v>
      </c>
      <c r="AY4" s="31">
        <v>37.0</v>
      </c>
      <c r="AZ4" s="24">
        <f t="shared" si="11"/>
        <v>1501</v>
      </c>
      <c r="BA4" s="30">
        <v>500.0</v>
      </c>
      <c r="BB4" s="30">
        <v>12.0</v>
      </c>
      <c r="BC4" s="30">
        <v>2.0</v>
      </c>
      <c r="BD4" s="30">
        <v>1.0</v>
      </c>
      <c r="BE4" s="30">
        <v>11.0</v>
      </c>
      <c r="BF4" s="30">
        <v>115.0</v>
      </c>
      <c r="BG4" s="30">
        <v>92.0</v>
      </c>
      <c r="BH4" s="31">
        <v>268.0</v>
      </c>
      <c r="BI4" s="24">
        <f t="shared" si="12"/>
        <v>1001</v>
      </c>
      <c r="BJ4" s="30">
        <v>21.0</v>
      </c>
      <c r="BK4" s="30">
        <v>15.0</v>
      </c>
      <c r="BL4" s="30">
        <v>23.0</v>
      </c>
      <c r="BM4" s="30">
        <v>1.0</v>
      </c>
      <c r="BN4" s="30">
        <v>264.0</v>
      </c>
      <c r="BO4" s="30">
        <v>0.0</v>
      </c>
      <c r="BP4" s="31">
        <v>677.0</v>
      </c>
      <c r="BQ4" s="24">
        <f t="shared" si="13"/>
        <v>1001</v>
      </c>
      <c r="BR4" s="32">
        <v>87.0</v>
      </c>
      <c r="BS4" s="30">
        <v>21.0</v>
      </c>
      <c r="BT4" s="31">
        <v>1393.0</v>
      </c>
      <c r="BU4" s="24">
        <f t="shared" si="14"/>
        <v>1501</v>
      </c>
    </row>
    <row r="5" ht="21.0" customHeight="1">
      <c r="A5" s="24" t="s">
        <v>72</v>
      </c>
      <c r="B5" s="33">
        <v>797.0</v>
      </c>
      <c r="C5" s="30">
        <v>63.0</v>
      </c>
      <c r="D5" s="31">
        <v>21.0</v>
      </c>
      <c r="E5" s="28">
        <f t="shared" si="1"/>
        <v>881</v>
      </c>
      <c r="F5" s="30">
        <v>110.0</v>
      </c>
      <c r="G5" s="30">
        <v>137.0</v>
      </c>
      <c r="H5" s="30">
        <v>132.0</v>
      </c>
      <c r="I5" s="30">
        <v>130.0</v>
      </c>
      <c r="J5" s="30">
        <v>127.0</v>
      </c>
      <c r="K5" s="30">
        <v>125.0</v>
      </c>
      <c r="L5" s="31">
        <v>120.0</v>
      </c>
      <c r="M5" s="24">
        <f t="shared" si="2"/>
        <v>881</v>
      </c>
      <c r="N5" s="30">
        <v>482.0</v>
      </c>
      <c r="O5" s="31">
        <v>399.0</v>
      </c>
      <c r="P5" s="24">
        <f t="shared" si="3"/>
        <v>881</v>
      </c>
      <c r="Q5" s="30">
        <v>502.0</v>
      </c>
      <c r="R5" s="31">
        <v>379.0</v>
      </c>
      <c r="S5" s="24">
        <f t="shared" si="4"/>
        <v>881</v>
      </c>
      <c r="T5" s="30">
        <v>220.0</v>
      </c>
      <c r="U5" s="30">
        <v>188.0</v>
      </c>
      <c r="V5" s="30">
        <v>3.0</v>
      </c>
      <c r="W5" s="30">
        <v>8.0</v>
      </c>
      <c r="X5" s="30">
        <v>311.0</v>
      </c>
      <c r="Y5" s="30">
        <v>2.0</v>
      </c>
      <c r="Z5" s="31">
        <v>149.0</v>
      </c>
      <c r="AA5" s="24">
        <f t="shared" si="5"/>
        <v>881</v>
      </c>
      <c r="AB5" s="30">
        <v>31.0</v>
      </c>
      <c r="AC5" s="30">
        <v>499.0</v>
      </c>
      <c r="AD5" s="30">
        <v>394.0</v>
      </c>
      <c r="AE5" s="30">
        <v>287.0</v>
      </c>
      <c r="AF5" s="30">
        <v>110.0</v>
      </c>
      <c r="AG5" s="24">
        <f t="shared" si="6"/>
        <v>1321</v>
      </c>
      <c r="AH5" s="30">
        <v>1090.0</v>
      </c>
      <c r="AI5" s="30">
        <v>231.0</v>
      </c>
      <c r="AJ5" s="24">
        <f t="shared" si="7"/>
        <v>1321</v>
      </c>
      <c r="AK5" s="30">
        <v>888.0</v>
      </c>
      <c r="AL5" s="30">
        <v>433.0</v>
      </c>
      <c r="AM5" s="24">
        <f t="shared" si="8"/>
        <v>1321</v>
      </c>
      <c r="AN5" s="30">
        <v>1310.0</v>
      </c>
      <c r="AO5" s="31">
        <v>11.0</v>
      </c>
      <c r="AP5" s="24">
        <f t="shared" si="9"/>
        <v>1321</v>
      </c>
      <c r="AQ5" s="30">
        <v>1091.0</v>
      </c>
      <c r="AR5" s="30">
        <v>203.0</v>
      </c>
      <c r="AS5" s="30">
        <v>2.0</v>
      </c>
      <c r="AT5" s="30">
        <v>5.0</v>
      </c>
      <c r="AU5" s="31">
        <v>20.0</v>
      </c>
      <c r="AV5" s="24">
        <f t="shared" si="15"/>
        <v>1321</v>
      </c>
      <c r="AW5" s="29">
        <f t="shared" si="10"/>
        <v>20</v>
      </c>
      <c r="AX5" s="30">
        <v>1300.0</v>
      </c>
      <c r="AY5" s="31">
        <v>1.0</v>
      </c>
      <c r="AZ5" s="24">
        <f t="shared" si="11"/>
        <v>1321</v>
      </c>
      <c r="BA5" s="30">
        <v>440.0</v>
      </c>
      <c r="BB5" s="30">
        <v>31.0</v>
      </c>
      <c r="BC5" s="30">
        <v>1.0</v>
      </c>
      <c r="BD5" s="30">
        <v>0.0</v>
      </c>
      <c r="BE5" s="30">
        <v>8.0</v>
      </c>
      <c r="BF5" s="30">
        <v>121.0</v>
      </c>
      <c r="BG5" s="30">
        <v>144.0</v>
      </c>
      <c r="BH5" s="31">
        <v>136.0</v>
      </c>
      <c r="BI5" s="24">
        <f t="shared" si="12"/>
        <v>881</v>
      </c>
      <c r="BJ5" s="30">
        <v>21.0</v>
      </c>
      <c r="BK5" s="30">
        <v>16.0</v>
      </c>
      <c r="BL5" s="30">
        <v>35.0</v>
      </c>
      <c r="BM5" s="30">
        <v>0.0</v>
      </c>
      <c r="BN5" s="30">
        <v>341.0</v>
      </c>
      <c r="BO5" s="30">
        <v>0.0</v>
      </c>
      <c r="BP5" s="31">
        <v>468.0</v>
      </c>
      <c r="BQ5" s="24">
        <f t="shared" si="13"/>
        <v>881</v>
      </c>
      <c r="BR5" s="32">
        <v>91.0</v>
      </c>
      <c r="BS5" s="30">
        <v>25.0</v>
      </c>
      <c r="BT5" s="31">
        <v>1205.0</v>
      </c>
      <c r="BU5" s="24">
        <f t="shared" si="14"/>
        <v>1321</v>
      </c>
    </row>
    <row r="6" ht="21.0" customHeight="1">
      <c r="A6" s="34" t="s">
        <v>73</v>
      </c>
      <c r="B6" s="33">
        <v>800.0</v>
      </c>
      <c r="C6" s="30">
        <v>66.0</v>
      </c>
      <c r="D6" s="31">
        <v>19.0</v>
      </c>
      <c r="E6" s="28">
        <f t="shared" si="1"/>
        <v>885</v>
      </c>
      <c r="F6" s="30">
        <v>106.0</v>
      </c>
      <c r="G6" s="30">
        <v>144.0</v>
      </c>
      <c r="H6" s="30">
        <v>135.0</v>
      </c>
      <c r="I6" s="30">
        <v>133.0</v>
      </c>
      <c r="J6" s="30">
        <v>125.0</v>
      </c>
      <c r="K6" s="30">
        <v>125.0</v>
      </c>
      <c r="L6" s="31">
        <v>117.0</v>
      </c>
      <c r="M6" s="24">
        <f t="shared" si="2"/>
        <v>885</v>
      </c>
      <c r="N6" s="30">
        <v>490.0</v>
      </c>
      <c r="O6" s="31">
        <v>395.0</v>
      </c>
      <c r="P6" s="24">
        <f t="shared" si="3"/>
        <v>885</v>
      </c>
      <c r="Q6" s="30">
        <v>510.0</v>
      </c>
      <c r="R6" s="31">
        <v>375.0</v>
      </c>
      <c r="S6" s="24">
        <f t="shared" si="4"/>
        <v>885</v>
      </c>
      <c r="T6" s="30">
        <v>233.0</v>
      </c>
      <c r="U6" s="30">
        <v>176.0</v>
      </c>
      <c r="V6" s="30">
        <v>2.0</v>
      </c>
      <c r="W6" s="30">
        <v>7.0</v>
      </c>
      <c r="X6" s="30">
        <v>300.0</v>
      </c>
      <c r="Y6" s="30">
        <v>1.0</v>
      </c>
      <c r="Z6" s="31">
        <v>166.0</v>
      </c>
      <c r="AA6" s="24">
        <f t="shared" si="5"/>
        <v>885</v>
      </c>
      <c r="AB6" s="30">
        <v>36.0</v>
      </c>
      <c r="AC6" s="30">
        <v>506.0</v>
      </c>
      <c r="AD6" s="30">
        <v>390.0</v>
      </c>
      <c r="AE6" s="30">
        <v>280.0</v>
      </c>
      <c r="AF6" s="30">
        <v>115.0</v>
      </c>
      <c r="AG6" s="24">
        <f t="shared" si="6"/>
        <v>1327</v>
      </c>
      <c r="AH6" s="30">
        <v>1011.0</v>
      </c>
      <c r="AI6" s="30">
        <v>316.0</v>
      </c>
      <c r="AJ6" s="24">
        <f t="shared" si="7"/>
        <v>1327</v>
      </c>
      <c r="AK6" s="30">
        <v>760.0</v>
      </c>
      <c r="AL6" s="30">
        <v>567.0</v>
      </c>
      <c r="AM6" s="24">
        <f t="shared" si="8"/>
        <v>1327</v>
      </c>
      <c r="AN6" s="30">
        <v>1320.0</v>
      </c>
      <c r="AO6" s="31">
        <v>7.0</v>
      </c>
      <c r="AP6" s="24">
        <f t="shared" si="9"/>
        <v>1327</v>
      </c>
      <c r="AQ6" s="30">
        <v>1115.0</v>
      </c>
      <c r="AR6" s="30">
        <v>204.0</v>
      </c>
      <c r="AS6" s="30">
        <v>1.0</v>
      </c>
      <c r="AT6" s="30">
        <v>0.0</v>
      </c>
      <c r="AU6" s="31">
        <v>7.0</v>
      </c>
      <c r="AV6" s="24">
        <f t="shared" si="15"/>
        <v>1327</v>
      </c>
      <c r="AW6" s="29">
        <f t="shared" si="10"/>
        <v>7</v>
      </c>
      <c r="AX6" s="30">
        <v>1318.0</v>
      </c>
      <c r="AY6" s="31">
        <v>2.0</v>
      </c>
      <c r="AZ6" s="24">
        <f t="shared" si="11"/>
        <v>1327</v>
      </c>
      <c r="BA6" s="30">
        <v>442.0</v>
      </c>
      <c r="BB6" s="30">
        <v>29.0</v>
      </c>
      <c r="BC6" s="30">
        <v>2.0</v>
      </c>
      <c r="BD6" s="30">
        <v>1.0</v>
      </c>
      <c r="BE6" s="30">
        <v>11.0</v>
      </c>
      <c r="BF6" s="30">
        <v>160.0</v>
      </c>
      <c r="BG6" s="30">
        <v>153.0</v>
      </c>
      <c r="BH6" s="31">
        <v>87.0</v>
      </c>
      <c r="BI6" s="24">
        <f t="shared" si="12"/>
        <v>885</v>
      </c>
      <c r="BJ6" s="30">
        <v>25.0</v>
      </c>
      <c r="BK6" s="30">
        <v>17.0</v>
      </c>
      <c r="BL6" s="30">
        <v>37.0</v>
      </c>
      <c r="BM6" s="30">
        <v>0.0</v>
      </c>
      <c r="BN6" s="30">
        <v>355.0</v>
      </c>
      <c r="BO6" s="30">
        <v>0.0</v>
      </c>
      <c r="BP6" s="31">
        <v>451.0</v>
      </c>
      <c r="BQ6" s="24">
        <f t="shared" si="13"/>
        <v>885</v>
      </c>
      <c r="BR6" s="32">
        <v>80.0</v>
      </c>
      <c r="BS6" s="30">
        <v>22.0</v>
      </c>
      <c r="BT6" s="31">
        <v>1225.0</v>
      </c>
      <c r="BU6" s="24">
        <f t="shared" si="14"/>
        <v>1327</v>
      </c>
    </row>
    <row r="7" ht="21.0" customHeight="1">
      <c r="A7" s="34" t="s">
        <v>74</v>
      </c>
      <c r="B7" s="33">
        <v>780.0</v>
      </c>
      <c r="C7" s="30">
        <v>57.0</v>
      </c>
      <c r="D7" s="31">
        <v>27.0</v>
      </c>
      <c r="E7" s="28">
        <f t="shared" si="1"/>
        <v>864</v>
      </c>
      <c r="F7" s="30">
        <v>142.0</v>
      </c>
      <c r="G7" s="30">
        <v>131.0</v>
      </c>
      <c r="H7" s="30">
        <v>131.0</v>
      </c>
      <c r="I7" s="30">
        <v>120.0</v>
      </c>
      <c r="J7" s="30">
        <v>121.0</v>
      </c>
      <c r="K7" s="30">
        <v>120.0</v>
      </c>
      <c r="L7" s="31">
        <v>99.0</v>
      </c>
      <c r="M7" s="24">
        <f t="shared" si="2"/>
        <v>864</v>
      </c>
      <c r="N7" s="30">
        <v>499.0</v>
      </c>
      <c r="O7" s="31">
        <v>365.0</v>
      </c>
      <c r="P7" s="24">
        <f t="shared" si="3"/>
        <v>864</v>
      </c>
      <c r="Q7" s="30">
        <v>580.0</v>
      </c>
      <c r="R7" s="31">
        <v>284.0</v>
      </c>
      <c r="S7" s="24">
        <f t="shared" si="4"/>
        <v>864</v>
      </c>
      <c r="T7" s="30">
        <v>209.0</v>
      </c>
      <c r="U7" s="30">
        <v>201.0</v>
      </c>
      <c r="V7" s="30">
        <v>3.0</v>
      </c>
      <c r="W7" s="30">
        <v>2.0</v>
      </c>
      <c r="X7" s="30">
        <v>260.0</v>
      </c>
      <c r="Y7" s="30">
        <v>1.0</v>
      </c>
      <c r="Z7" s="31">
        <v>188.0</v>
      </c>
      <c r="AA7" s="24">
        <f t="shared" si="5"/>
        <v>864</v>
      </c>
      <c r="AB7" s="30">
        <v>29.0</v>
      </c>
      <c r="AC7" s="30">
        <v>503.0</v>
      </c>
      <c r="AD7" s="30">
        <v>388.0</v>
      </c>
      <c r="AE7" s="30">
        <v>263.0</v>
      </c>
      <c r="AF7" s="30">
        <v>113.0</v>
      </c>
      <c r="AG7" s="24">
        <f t="shared" si="6"/>
        <v>1296</v>
      </c>
      <c r="AH7" s="30">
        <v>588.0</v>
      </c>
      <c r="AI7" s="30">
        <v>708.0</v>
      </c>
      <c r="AJ7" s="24">
        <f t="shared" si="7"/>
        <v>1296</v>
      </c>
      <c r="AK7" s="30">
        <v>833.0</v>
      </c>
      <c r="AL7" s="30">
        <v>463.0</v>
      </c>
      <c r="AM7" s="24">
        <f t="shared" si="8"/>
        <v>1296</v>
      </c>
      <c r="AN7" s="30">
        <v>1292.0</v>
      </c>
      <c r="AO7" s="31">
        <v>4.0</v>
      </c>
      <c r="AP7" s="24">
        <f t="shared" si="9"/>
        <v>1296</v>
      </c>
      <c r="AQ7" s="30">
        <v>1140.0</v>
      </c>
      <c r="AR7" s="30">
        <v>147.0</v>
      </c>
      <c r="AS7" s="30">
        <v>0.0</v>
      </c>
      <c r="AT7" s="30">
        <v>1.0</v>
      </c>
      <c r="AU7" s="31">
        <v>8.0</v>
      </c>
      <c r="AV7" s="24">
        <f t="shared" si="15"/>
        <v>1296</v>
      </c>
      <c r="AW7" s="29">
        <f t="shared" si="10"/>
        <v>8</v>
      </c>
      <c r="AX7" s="30">
        <v>1284.0</v>
      </c>
      <c r="AY7" s="31">
        <v>4.0</v>
      </c>
      <c r="AZ7" s="24">
        <f t="shared" si="11"/>
        <v>1296</v>
      </c>
      <c r="BA7" s="30">
        <v>436.0</v>
      </c>
      <c r="BB7" s="30">
        <v>37.0</v>
      </c>
      <c r="BC7" s="30">
        <v>1.0</v>
      </c>
      <c r="BD7" s="30">
        <v>0.0</v>
      </c>
      <c r="BE7" s="30">
        <v>33.0</v>
      </c>
      <c r="BF7" s="30">
        <v>88.0</v>
      </c>
      <c r="BG7" s="30">
        <v>162.0</v>
      </c>
      <c r="BH7" s="31">
        <v>107.0</v>
      </c>
      <c r="BI7" s="24">
        <f t="shared" si="12"/>
        <v>864</v>
      </c>
      <c r="BJ7" s="30">
        <v>35.0</v>
      </c>
      <c r="BK7" s="30">
        <v>51.0</v>
      </c>
      <c r="BL7" s="30">
        <v>71.0</v>
      </c>
      <c r="BM7" s="30">
        <v>0.0</v>
      </c>
      <c r="BN7" s="30">
        <v>301.0</v>
      </c>
      <c r="BO7" s="30">
        <v>0.0</v>
      </c>
      <c r="BP7" s="31">
        <v>406.0</v>
      </c>
      <c r="BQ7" s="24">
        <f t="shared" si="13"/>
        <v>864</v>
      </c>
      <c r="BR7" s="32">
        <v>66.0</v>
      </c>
      <c r="BS7" s="30">
        <v>31.0</v>
      </c>
      <c r="BT7" s="31">
        <v>1199.0</v>
      </c>
      <c r="BU7" s="24">
        <f t="shared" si="14"/>
        <v>1296</v>
      </c>
    </row>
    <row r="8" ht="18.75" customHeight="1">
      <c r="A8" s="101" t="s">
        <v>75</v>
      </c>
      <c r="B8" s="104">
        <v>839.0</v>
      </c>
      <c r="C8" s="105">
        <v>77.0</v>
      </c>
      <c r="D8" s="106">
        <v>22.0</v>
      </c>
      <c r="E8" s="128">
        <f t="shared" si="1"/>
        <v>938</v>
      </c>
      <c r="F8" s="105">
        <v>135.0</v>
      </c>
      <c r="G8" s="105">
        <v>147.0</v>
      </c>
      <c r="H8" s="105">
        <v>143.0</v>
      </c>
      <c r="I8" s="105">
        <v>137.0</v>
      </c>
      <c r="J8" s="105">
        <v>131.0</v>
      </c>
      <c r="K8" s="105">
        <v>125.0</v>
      </c>
      <c r="L8" s="106">
        <v>120.0</v>
      </c>
      <c r="M8" s="101">
        <f t="shared" si="2"/>
        <v>938</v>
      </c>
      <c r="N8" s="105">
        <v>488.0</v>
      </c>
      <c r="O8" s="106">
        <v>450.0</v>
      </c>
      <c r="P8" s="101">
        <f t="shared" si="3"/>
        <v>938</v>
      </c>
      <c r="Q8" s="105">
        <v>620.0</v>
      </c>
      <c r="R8" s="106">
        <v>318.0</v>
      </c>
      <c r="S8" s="101">
        <f t="shared" si="4"/>
        <v>938</v>
      </c>
      <c r="T8" s="105">
        <v>420.0</v>
      </c>
      <c r="U8" s="105">
        <v>241.0</v>
      </c>
      <c r="V8" s="105">
        <v>6.0</v>
      </c>
      <c r="W8" s="105">
        <v>1.0</v>
      </c>
      <c r="X8" s="105">
        <v>221.0</v>
      </c>
      <c r="Y8" s="105">
        <v>1.0</v>
      </c>
      <c r="Z8" s="106">
        <v>38.0</v>
      </c>
      <c r="AA8" s="101">
        <f t="shared" si="5"/>
        <v>928</v>
      </c>
      <c r="AB8" s="105">
        <v>80.0</v>
      </c>
      <c r="AC8" s="105">
        <v>477.0</v>
      </c>
      <c r="AD8" s="105">
        <v>413.0</v>
      </c>
      <c r="AE8" s="105">
        <v>275.0</v>
      </c>
      <c r="AF8" s="105">
        <v>162.0</v>
      </c>
      <c r="AG8" s="101">
        <f t="shared" si="6"/>
        <v>1407</v>
      </c>
      <c r="AH8" s="105">
        <v>1106.0</v>
      </c>
      <c r="AI8" s="105">
        <v>301.0</v>
      </c>
      <c r="AJ8" s="101">
        <f t="shared" si="7"/>
        <v>1407</v>
      </c>
      <c r="AK8" s="105">
        <v>741.0</v>
      </c>
      <c r="AL8" s="105">
        <v>666.0</v>
      </c>
      <c r="AM8" s="101">
        <f t="shared" si="8"/>
        <v>1407</v>
      </c>
      <c r="AN8" s="105">
        <v>1399.0</v>
      </c>
      <c r="AO8" s="106">
        <v>8.0</v>
      </c>
      <c r="AP8" s="101">
        <f t="shared" si="9"/>
        <v>1407</v>
      </c>
      <c r="AQ8" s="105">
        <v>1124.0</v>
      </c>
      <c r="AR8" s="105">
        <v>210.0</v>
      </c>
      <c r="AS8" s="105">
        <v>0.0</v>
      </c>
      <c r="AT8" s="105">
        <v>3.0</v>
      </c>
      <c r="AU8" s="106">
        <v>70.0</v>
      </c>
      <c r="AV8" s="101">
        <f t="shared" si="15"/>
        <v>1407</v>
      </c>
      <c r="AW8" s="121">
        <f t="shared" si="10"/>
        <v>70</v>
      </c>
      <c r="AX8" s="105">
        <v>1329.0</v>
      </c>
      <c r="AY8" s="106">
        <v>8.0</v>
      </c>
      <c r="AZ8" s="101">
        <f t="shared" si="11"/>
        <v>1407</v>
      </c>
      <c r="BA8" s="105">
        <v>469.0</v>
      </c>
      <c r="BB8" s="105">
        <v>19.0</v>
      </c>
      <c r="BC8" s="105">
        <v>3.0</v>
      </c>
      <c r="BD8" s="105">
        <v>0.0</v>
      </c>
      <c r="BE8" s="105">
        <v>6.0</v>
      </c>
      <c r="BF8" s="105">
        <v>111.0</v>
      </c>
      <c r="BG8" s="105">
        <v>177.0</v>
      </c>
      <c r="BH8" s="106">
        <v>153.0</v>
      </c>
      <c r="BI8" s="101">
        <f t="shared" si="12"/>
        <v>938</v>
      </c>
      <c r="BJ8" s="105">
        <v>36.0</v>
      </c>
      <c r="BK8" s="105">
        <v>27.0</v>
      </c>
      <c r="BL8" s="105">
        <v>36.0</v>
      </c>
      <c r="BM8" s="105">
        <v>2.0</v>
      </c>
      <c r="BN8" s="105">
        <v>362.0</v>
      </c>
      <c r="BO8" s="105">
        <v>0.0</v>
      </c>
      <c r="BP8" s="106">
        <v>475.0</v>
      </c>
      <c r="BQ8" s="101">
        <f t="shared" si="13"/>
        <v>938</v>
      </c>
      <c r="BR8" s="105">
        <v>82.0</v>
      </c>
      <c r="BS8" s="105">
        <v>25.0</v>
      </c>
      <c r="BT8" s="106">
        <v>1300.0</v>
      </c>
      <c r="BU8" s="101">
        <f t="shared" si="14"/>
        <v>1407</v>
      </c>
    </row>
    <row r="9" ht="21.0" customHeight="1">
      <c r="A9" s="24" t="s">
        <v>76</v>
      </c>
      <c r="B9" s="33">
        <v>741.0</v>
      </c>
      <c r="C9" s="30">
        <v>75.0</v>
      </c>
      <c r="D9" s="31">
        <v>25.0</v>
      </c>
      <c r="E9" s="28">
        <f t="shared" si="1"/>
        <v>841</v>
      </c>
      <c r="F9" s="30">
        <v>125.0</v>
      </c>
      <c r="G9" s="30">
        <v>132.0</v>
      </c>
      <c r="H9" s="30">
        <v>128.0</v>
      </c>
      <c r="I9" s="30">
        <v>122.0</v>
      </c>
      <c r="J9" s="30">
        <v>116.0</v>
      </c>
      <c r="K9" s="30">
        <v>110.0</v>
      </c>
      <c r="L9" s="31">
        <v>108.0</v>
      </c>
      <c r="M9" s="24">
        <f t="shared" si="2"/>
        <v>841</v>
      </c>
      <c r="N9" s="30">
        <v>490.0</v>
      </c>
      <c r="O9" s="31">
        <v>351.0</v>
      </c>
      <c r="P9" s="24">
        <f t="shared" si="3"/>
        <v>841</v>
      </c>
      <c r="Q9" s="30">
        <v>540.0</v>
      </c>
      <c r="R9" s="31">
        <v>301.0</v>
      </c>
      <c r="S9" s="24">
        <f t="shared" si="4"/>
        <v>841</v>
      </c>
      <c r="T9" s="30">
        <v>315.0</v>
      </c>
      <c r="U9" s="30">
        <v>230.0</v>
      </c>
      <c r="V9" s="30">
        <v>1.0</v>
      </c>
      <c r="W9" s="30">
        <v>0.0</v>
      </c>
      <c r="X9" s="30">
        <v>199.0</v>
      </c>
      <c r="Y9" s="30">
        <v>2.0</v>
      </c>
      <c r="Z9" s="31">
        <v>94.0</v>
      </c>
      <c r="AA9" s="24">
        <f t="shared" si="5"/>
        <v>841</v>
      </c>
      <c r="AB9" s="30">
        <v>51.0</v>
      </c>
      <c r="AC9" s="30">
        <v>447.0</v>
      </c>
      <c r="AD9" s="30">
        <v>384.0</v>
      </c>
      <c r="AE9" s="30">
        <v>242.0</v>
      </c>
      <c r="AF9" s="30">
        <v>137.0</v>
      </c>
      <c r="AG9" s="24">
        <f t="shared" si="6"/>
        <v>1261</v>
      </c>
      <c r="AH9" s="30">
        <v>1031.0</v>
      </c>
      <c r="AI9" s="30">
        <v>230.0</v>
      </c>
      <c r="AJ9" s="24">
        <f t="shared" si="7"/>
        <v>1261</v>
      </c>
      <c r="AK9" s="30">
        <v>621.0</v>
      </c>
      <c r="AL9" s="30">
        <v>640.0</v>
      </c>
      <c r="AM9" s="24">
        <f t="shared" si="8"/>
        <v>1261</v>
      </c>
      <c r="AN9" s="30">
        <v>1255.0</v>
      </c>
      <c r="AO9" s="31">
        <v>6.0</v>
      </c>
      <c r="AP9" s="24">
        <f t="shared" si="9"/>
        <v>1261</v>
      </c>
      <c r="AQ9" s="30">
        <v>1075.0</v>
      </c>
      <c r="AR9" s="30">
        <v>170.0</v>
      </c>
      <c r="AS9" s="30">
        <v>0.0</v>
      </c>
      <c r="AT9" s="30">
        <v>2.0</v>
      </c>
      <c r="AU9" s="31">
        <v>14.0</v>
      </c>
      <c r="AV9" s="24">
        <f t="shared" si="15"/>
        <v>1261</v>
      </c>
      <c r="AW9" s="29">
        <f t="shared" si="10"/>
        <v>14</v>
      </c>
      <c r="AX9" s="30">
        <v>1244.0</v>
      </c>
      <c r="AY9" s="31">
        <v>3.0</v>
      </c>
      <c r="AZ9" s="24">
        <f t="shared" si="11"/>
        <v>1261</v>
      </c>
      <c r="BA9" s="30">
        <v>420.0</v>
      </c>
      <c r="BB9" s="30">
        <v>25.0</v>
      </c>
      <c r="BC9" s="30">
        <v>4.0</v>
      </c>
      <c r="BD9" s="30">
        <v>0.0</v>
      </c>
      <c r="BE9" s="30">
        <v>8.0</v>
      </c>
      <c r="BF9" s="30">
        <v>99.0</v>
      </c>
      <c r="BG9" s="30">
        <v>141.0</v>
      </c>
      <c r="BH9" s="31">
        <v>144.0</v>
      </c>
      <c r="BI9" s="24">
        <f t="shared" si="12"/>
        <v>841</v>
      </c>
      <c r="BJ9" s="30">
        <v>33.0</v>
      </c>
      <c r="BK9" s="30">
        <v>24.0</v>
      </c>
      <c r="BL9" s="30">
        <v>26.0</v>
      </c>
      <c r="BM9" s="30">
        <v>0.0</v>
      </c>
      <c r="BN9" s="30">
        <v>288.0</v>
      </c>
      <c r="BO9" s="30">
        <v>0.0</v>
      </c>
      <c r="BP9" s="31">
        <v>470.0</v>
      </c>
      <c r="BQ9" s="24">
        <f t="shared" si="13"/>
        <v>841</v>
      </c>
      <c r="BR9" s="32">
        <v>85.0</v>
      </c>
      <c r="BS9" s="30">
        <v>27.0</v>
      </c>
      <c r="BT9" s="31">
        <v>1149.0</v>
      </c>
      <c r="BU9" s="24">
        <f t="shared" si="14"/>
        <v>1261</v>
      </c>
    </row>
    <row r="10" ht="21.0" customHeight="1">
      <c r="A10" s="24" t="s">
        <v>77</v>
      </c>
      <c r="B10" s="33">
        <v>640.0</v>
      </c>
      <c r="C10" s="30">
        <v>66.0</v>
      </c>
      <c r="D10" s="31">
        <v>15.0</v>
      </c>
      <c r="E10" s="28">
        <f t="shared" si="1"/>
        <v>721</v>
      </c>
      <c r="F10" s="30">
        <v>115.0</v>
      </c>
      <c r="G10" s="30">
        <v>112.0</v>
      </c>
      <c r="H10" s="30">
        <v>110.0</v>
      </c>
      <c r="I10" s="30">
        <v>107.0</v>
      </c>
      <c r="J10" s="30">
        <v>103.0</v>
      </c>
      <c r="K10" s="30">
        <v>90.0</v>
      </c>
      <c r="L10" s="31">
        <v>84.0</v>
      </c>
      <c r="M10" s="24">
        <f>SUM(F10:L10)</f>
        <v>721</v>
      </c>
      <c r="N10" s="30">
        <v>466.0</v>
      </c>
      <c r="O10" s="31">
        <v>255.0</v>
      </c>
      <c r="P10" s="24">
        <f t="shared" si="3"/>
        <v>721</v>
      </c>
      <c r="Q10" s="30">
        <v>440.0</v>
      </c>
      <c r="R10" s="31">
        <v>281.0</v>
      </c>
      <c r="S10" s="24">
        <f t="shared" si="4"/>
        <v>721</v>
      </c>
      <c r="T10" s="30">
        <v>281.0</v>
      </c>
      <c r="U10" s="30">
        <v>240.0</v>
      </c>
      <c r="V10" s="30">
        <v>2.0</v>
      </c>
      <c r="W10" s="30">
        <v>1.0</v>
      </c>
      <c r="X10" s="30">
        <v>112.0</v>
      </c>
      <c r="Y10" s="30">
        <v>3.0</v>
      </c>
      <c r="Z10" s="31">
        <v>82.0</v>
      </c>
      <c r="AA10" s="24">
        <f t="shared" si="5"/>
        <v>721</v>
      </c>
      <c r="AB10" s="30">
        <v>29.0</v>
      </c>
      <c r="AC10" s="30">
        <v>401.0</v>
      </c>
      <c r="AD10" s="30">
        <v>331.0</v>
      </c>
      <c r="AE10" s="30">
        <v>200.0</v>
      </c>
      <c r="AF10" s="30">
        <v>120.0</v>
      </c>
      <c r="AG10" s="24">
        <f t="shared" si="6"/>
        <v>1081</v>
      </c>
      <c r="AH10" s="30">
        <v>880.0</v>
      </c>
      <c r="AI10" s="30">
        <v>201.0</v>
      </c>
      <c r="AJ10" s="24">
        <f t="shared" si="7"/>
        <v>1081</v>
      </c>
      <c r="AK10" s="30">
        <v>570.0</v>
      </c>
      <c r="AL10" s="30">
        <v>511.0</v>
      </c>
      <c r="AM10" s="24">
        <f t="shared" si="8"/>
        <v>1081</v>
      </c>
      <c r="AN10" s="30">
        <v>1079.0</v>
      </c>
      <c r="AO10" s="31">
        <v>2.0</v>
      </c>
      <c r="AP10" s="24">
        <f t="shared" si="9"/>
        <v>1081</v>
      </c>
      <c r="AQ10" s="30">
        <v>852.0</v>
      </c>
      <c r="AR10" s="30">
        <v>155.0</v>
      </c>
      <c r="AS10" s="30">
        <v>3.0</v>
      </c>
      <c r="AT10" s="30">
        <v>0.0</v>
      </c>
      <c r="AU10" s="31">
        <v>71.0</v>
      </c>
      <c r="AV10" s="24">
        <f t="shared" si="15"/>
        <v>1081</v>
      </c>
      <c r="AW10" s="29">
        <f t="shared" si="10"/>
        <v>71</v>
      </c>
      <c r="AX10" s="30">
        <v>1008.0</v>
      </c>
      <c r="AY10" s="31">
        <v>2.0</v>
      </c>
      <c r="AZ10" s="24">
        <f t="shared" si="11"/>
        <v>1081</v>
      </c>
      <c r="BA10" s="30">
        <v>360.0</v>
      </c>
      <c r="BB10" s="30">
        <v>15.0</v>
      </c>
      <c r="BC10" s="30">
        <v>2.0</v>
      </c>
      <c r="BD10" s="30">
        <v>0.0</v>
      </c>
      <c r="BE10" s="30">
        <v>5.0</v>
      </c>
      <c r="BF10" s="30">
        <v>87.0</v>
      </c>
      <c r="BG10" s="30">
        <v>119.0</v>
      </c>
      <c r="BH10" s="31">
        <v>133.0</v>
      </c>
      <c r="BI10" s="24">
        <f t="shared" si="12"/>
        <v>721</v>
      </c>
      <c r="BJ10" s="30">
        <v>27.0</v>
      </c>
      <c r="BK10" s="30">
        <v>18.0</v>
      </c>
      <c r="BL10" s="30">
        <v>21.0</v>
      </c>
      <c r="BM10" s="30">
        <v>0.0</v>
      </c>
      <c r="BN10" s="30">
        <v>240.0</v>
      </c>
      <c r="BO10" s="30">
        <v>0.0</v>
      </c>
      <c r="BP10" s="31">
        <v>415.0</v>
      </c>
      <c r="BQ10" s="24">
        <f t="shared" si="13"/>
        <v>721</v>
      </c>
      <c r="BR10" s="32">
        <v>71.0</v>
      </c>
      <c r="BS10" s="30">
        <v>18.0</v>
      </c>
      <c r="BT10" s="31">
        <v>992.0</v>
      </c>
      <c r="BU10" s="24">
        <f t="shared" si="14"/>
        <v>1081</v>
      </c>
    </row>
    <row r="11" ht="21.0" customHeight="1">
      <c r="A11" s="24" t="s">
        <v>78</v>
      </c>
      <c r="B11" s="33">
        <v>635.0</v>
      </c>
      <c r="C11" s="30">
        <v>69.0</v>
      </c>
      <c r="D11" s="31">
        <v>20.0</v>
      </c>
      <c r="E11" s="28">
        <f t="shared" si="1"/>
        <v>724</v>
      </c>
      <c r="F11" s="30">
        <v>110.0</v>
      </c>
      <c r="G11" s="30">
        <v>117.0</v>
      </c>
      <c r="H11" s="30">
        <v>108.0</v>
      </c>
      <c r="I11" s="30">
        <v>109.0</v>
      </c>
      <c r="J11" s="30">
        <v>102.0</v>
      </c>
      <c r="K11" s="30">
        <v>91.0</v>
      </c>
      <c r="L11" s="31">
        <v>87.0</v>
      </c>
      <c r="M11" s="24">
        <f t="shared" ref="M11:M14" si="16">F11+G11+H11+I11+J11+K11+L11</f>
        <v>724</v>
      </c>
      <c r="N11" s="30">
        <v>451.0</v>
      </c>
      <c r="O11" s="31">
        <v>273.0</v>
      </c>
      <c r="P11" s="24">
        <f t="shared" si="3"/>
        <v>724</v>
      </c>
      <c r="Q11" s="30">
        <v>431.0</v>
      </c>
      <c r="R11" s="31">
        <v>293.0</v>
      </c>
      <c r="S11" s="24">
        <f t="shared" si="4"/>
        <v>724</v>
      </c>
      <c r="T11" s="30">
        <v>299.0</v>
      </c>
      <c r="U11" s="30">
        <v>234.0</v>
      </c>
      <c r="V11" s="30">
        <v>1.0</v>
      </c>
      <c r="W11" s="30">
        <v>2.0</v>
      </c>
      <c r="X11" s="30">
        <v>109.0</v>
      </c>
      <c r="Y11" s="30">
        <v>2.0</v>
      </c>
      <c r="Z11" s="31">
        <v>77.0</v>
      </c>
      <c r="AA11" s="24">
        <f t="shared" si="5"/>
        <v>724</v>
      </c>
      <c r="AB11" s="30">
        <v>25.0</v>
      </c>
      <c r="AC11" s="30">
        <v>405.0</v>
      </c>
      <c r="AD11" s="30">
        <v>333.0</v>
      </c>
      <c r="AE11" s="30">
        <v>202.0</v>
      </c>
      <c r="AF11" s="30">
        <v>119.0</v>
      </c>
      <c r="AG11" s="24">
        <f t="shared" si="6"/>
        <v>1084</v>
      </c>
      <c r="AH11" s="30">
        <v>866.0</v>
      </c>
      <c r="AI11" s="30">
        <v>218.0</v>
      </c>
      <c r="AJ11" s="24">
        <f t="shared" si="7"/>
        <v>1084</v>
      </c>
      <c r="AK11" s="30">
        <v>587.0</v>
      </c>
      <c r="AL11" s="30">
        <v>497.0</v>
      </c>
      <c r="AM11" s="24">
        <f t="shared" si="8"/>
        <v>1084</v>
      </c>
      <c r="AN11" s="30">
        <v>1080.0</v>
      </c>
      <c r="AO11" s="31">
        <v>4.0</v>
      </c>
      <c r="AP11" s="24">
        <f t="shared" si="9"/>
        <v>1084</v>
      </c>
      <c r="AQ11" s="30">
        <v>556.0</v>
      </c>
      <c r="AR11" s="30">
        <v>154.0</v>
      </c>
      <c r="AS11" s="30">
        <v>5.0</v>
      </c>
      <c r="AT11" s="30">
        <v>9.0</v>
      </c>
      <c r="AU11" s="31">
        <v>360.0</v>
      </c>
      <c r="AV11" s="24">
        <f t="shared" si="15"/>
        <v>1084</v>
      </c>
      <c r="AW11" s="29">
        <f t="shared" si="10"/>
        <v>360</v>
      </c>
      <c r="AX11" s="30">
        <v>715.0</v>
      </c>
      <c r="AY11" s="31">
        <v>9.0</v>
      </c>
      <c r="AZ11" s="24">
        <f t="shared" si="11"/>
        <v>1084</v>
      </c>
      <c r="BA11" s="30">
        <v>362.0</v>
      </c>
      <c r="BB11" s="30">
        <v>13.0</v>
      </c>
      <c r="BC11" s="30">
        <v>1.0</v>
      </c>
      <c r="BD11" s="30">
        <v>0.0</v>
      </c>
      <c r="BE11" s="30">
        <v>7.0</v>
      </c>
      <c r="BF11" s="30">
        <v>81.0</v>
      </c>
      <c r="BG11" s="30">
        <v>132.0</v>
      </c>
      <c r="BH11" s="31">
        <v>128.0</v>
      </c>
      <c r="BI11" s="24">
        <f t="shared" si="12"/>
        <v>724</v>
      </c>
      <c r="BJ11" s="30">
        <v>25.0</v>
      </c>
      <c r="BK11" s="30">
        <v>21.0</v>
      </c>
      <c r="BL11" s="30">
        <v>23.0</v>
      </c>
      <c r="BM11" s="30">
        <v>0.0</v>
      </c>
      <c r="BN11" s="30">
        <v>266.0</v>
      </c>
      <c r="BO11" s="30">
        <v>0.0</v>
      </c>
      <c r="BP11" s="31">
        <v>389.0</v>
      </c>
      <c r="BQ11" s="24">
        <f t="shared" si="13"/>
        <v>724</v>
      </c>
      <c r="BR11" s="32">
        <v>75.0</v>
      </c>
      <c r="BS11" s="30">
        <v>22.0</v>
      </c>
      <c r="BT11" s="31">
        <v>987.0</v>
      </c>
      <c r="BU11" s="24">
        <f t="shared" si="14"/>
        <v>1084</v>
      </c>
    </row>
    <row r="12" ht="21.0" customHeight="1">
      <c r="A12" s="24" t="s">
        <v>79</v>
      </c>
      <c r="B12" s="33">
        <v>799.0</v>
      </c>
      <c r="C12" s="30">
        <v>49.0</v>
      </c>
      <c r="D12" s="31">
        <v>24.0</v>
      </c>
      <c r="E12" s="28">
        <f t="shared" si="1"/>
        <v>872</v>
      </c>
      <c r="F12" s="30">
        <v>133.0</v>
      </c>
      <c r="G12" s="30">
        <v>131.0</v>
      </c>
      <c r="H12" s="30">
        <v>128.0</v>
      </c>
      <c r="I12" s="30">
        <v>121.0</v>
      </c>
      <c r="J12" s="30">
        <v>122.0</v>
      </c>
      <c r="K12" s="30">
        <v>125.0</v>
      </c>
      <c r="L12" s="31">
        <v>112.0</v>
      </c>
      <c r="M12" s="24">
        <f t="shared" si="16"/>
        <v>872</v>
      </c>
      <c r="N12" s="30">
        <v>444.0</v>
      </c>
      <c r="O12" s="31">
        <v>428.0</v>
      </c>
      <c r="P12" s="24">
        <f t="shared" si="3"/>
        <v>872</v>
      </c>
      <c r="Q12" s="30">
        <v>501.0</v>
      </c>
      <c r="R12" s="31">
        <v>371.0</v>
      </c>
      <c r="S12" s="24">
        <f t="shared" si="4"/>
        <v>872</v>
      </c>
      <c r="T12" s="30">
        <v>399.0</v>
      </c>
      <c r="U12" s="30">
        <v>340.0</v>
      </c>
      <c r="V12" s="30">
        <v>2.0</v>
      </c>
      <c r="W12" s="30">
        <v>1.0</v>
      </c>
      <c r="X12" s="30">
        <v>70.0</v>
      </c>
      <c r="Y12" s="30">
        <v>3.0</v>
      </c>
      <c r="Z12" s="31">
        <v>157.0</v>
      </c>
      <c r="AA12" s="24">
        <f t="shared" si="5"/>
        <v>972</v>
      </c>
      <c r="AB12" s="30">
        <v>35.0</v>
      </c>
      <c r="AC12" s="30">
        <v>362.0</v>
      </c>
      <c r="AD12" s="30">
        <v>244.0</v>
      </c>
      <c r="AE12" s="30">
        <v>150.0</v>
      </c>
      <c r="AF12" s="30">
        <v>517.0</v>
      </c>
      <c r="AG12" s="24">
        <f t="shared" si="6"/>
        <v>1308</v>
      </c>
      <c r="AH12" s="30">
        <v>1006.0</v>
      </c>
      <c r="AI12" s="30">
        <v>302.0</v>
      </c>
      <c r="AJ12" s="24">
        <f t="shared" si="7"/>
        <v>1308</v>
      </c>
      <c r="AK12" s="30">
        <v>871.0</v>
      </c>
      <c r="AL12" s="30">
        <v>437.0</v>
      </c>
      <c r="AM12" s="24">
        <f t="shared" si="8"/>
        <v>1308</v>
      </c>
      <c r="AN12" s="30">
        <v>1301.0</v>
      </c>
      <c r="AO12" s="31">
        <v>7.0</v>
      </c>
      <c r="AP12" s="24">
        <f t="shared" si="9"/>
        <v>1308</v>
      </c>
      <c r="AQ12" s="30">
        <v>1156.0</v>
      </c>
      <c r="AR12" s="30">
        <v>123.0</v>
      </c>
      <c r="AS12" s="30">
        <v>11.0</v>
      </c>
      <c r="AT12" s="30">
        <v>0.0</v>
      </c>
      <c r="AU12" s="31">
        <v>18.0</v>
      </c>
      <c r="AV12" s="24">
        <f t="shared" si="15"/>
        <v>1308</v>
      </c>
      <c r="AW12" s="29">
        <f t="shared" si="10"/>
        <v>18</v>
      </c>
      <c r="AX12" s="30">
        <v>1283.0</v>
      </c>
      <c r="AY12" s="31">
        <v>7.0</v>
      </c>
      <c r="AZ12" s="24">
        <f t="shared" si="11"/>
        <v>1308</v>
      </c>
      <c r="BA12" s="30">
        <v>436.0</v>
      </c>
      <c r="BB12" s="30">
        <v>5.0</v>
      </c>
      <c r="BC12" s="30">
        <v>1.0</v>
      </c>
      <c r="BD12" s="30">
        <v>0.0</v>
      </c>
      <c r="BE12" s="30">
        <v>6.0</v>
      </c>
      <c r="BF12" s="30">
        <v>102.0</v>
      </c>
      <c r="BG12" s="30">
        <v>145.0</v>
      </c>
      <c r="BH12" s="31">
        <v>177.0</v>
      </c>
      <c r="BI12" s="24">
        <f t="shared" si="12"/>
        <v>872</v>
      </c>
      <c r="BJ12" s="30">
        <v>26.0</v>
      </c>
      <c r="BK12" s="30">
        <v>35.0</v>
      </c>
      <c r="BL12" s="30">
        <v>22.0</v>
      </c>
      <c r="BM12" s="30">
        <v>0.0</v>
      </c>
      <c r="BN12" s="30">
        <v>401.0</v>
      </c>
      <c r="BO12" s="30">
        <v>0.0</v>
      </c>
      <c r="BP12" s="31">
        <v>388.0</v>
      </c>
      <c r="BQ12" s="24">
        <f t="shared" si="13"/>
        <v>872</v>
      </c>
      <c r="BR12" s="32">
        <v>56.0</v>
      </c>
      <c r="BS12" s="30">
        <v>28.0</v>
      </c>
      <c r="BT12" s="31">
        <v>1224.0</v>
      </c>
      <c r="BU12" s="24">
        <f t="shared" si="14"/>
        <v>1308</v>
      </c>
    </row>
    <row r="13" ht="21.0" customHeight="1">
      <c r="A13" s="24" t="s">
        <v>80</v>
      </c>
      <c r="B13" s="35">
        <v>692.0</v>
      </c>
      <c r="C13" s="36">
        <v>50.0</v>
      </c>
      <c r="D13" s="37">
        <v>10.0</v>
      </c>
      <c r="E13" s="28">
        <f t="shared" si="1"/>
        <v>752</v>
      </c>
      <c r="F13" s="36">
        <v>115.0</v>
      </c>
      <c r="G13" s="36">
        <v>122.0</v>
      </c>
      <c r="H13" s="36">
        <v>113.0</v>
      </c>
      <c r="I13" s="36">
        <v>114.0</v>
      </c>
      <c r="J13" s="36">
        <v>107.0</v>
      </c>
      <c r="K13" s="36">
        <v>90.0</v>
      </c>
      <c r="L13" s="37">
        <v>91.0</v>
      </c>
      <c r="M13" s="24">
        <f t="shared" si="16"/>
        <v>752</v>
      </c>
      <c r="N13" s="36">
        <v>488.0</v>
      </c>
      <c r="O13" s="37">
        <v>264.0</v>
      </c>
      <c r="P13" s="24">
        <f t="shared" si="3"/>
        <v>752</v>
      </c>
      <c r="Q13" s="30">
        <v>442.0</v>
      </c>
      <c r="R13" s="31">
        <v>310.0</v>
      </c>
      <c r="S13" s="24">
        <f t="shared" si="4"/>
        <v>752</v>
      </c>
      <c r="T13" s="30">
        <v>310.0</v>
      </c>
      <c r="U13" s="30">
        <v>245.0</v>
      </c>
      <c r="V13" s="30">
        <v>2.0</v>
      </c>
      <c r="W13" s="30">
        <v>3.0</v>
      </c>
      <c r="X13" s="30">
        <v>115.0</v>
      </c>
      <c r="Y13" s="30">
        <v>1.0</v>
      </c>
      <c r="Z13" s="31">
        <v>76.0</v>
      </c>
      <c r="AA13" s="24">
        <f t="shared" si="5"/>
        <v>752</v>
      </c>
      <c r="AB13" s="30">
        <v>27.0</v>
      </c>
      <c r="AC13" s="30">
        <v>410.0</v>
      </c>
      <c r="AD13" s="30">
        <v>353.0</v>
      </c>
      <c r="AE13" s="30">
        <v>207.0</v>
      </c>
      <c r="AF13" s="30">
        <v>131.0</v>
      </c>
      <c r="AG13" s="24">
        <f t="shared" si="6"/>
        <v>1128</v>
      </c>
      <c r="AH13" s="30">
        <v>890.0</v>
      </c>
      <c r="AI13" s="30">
        <v>238.0</v>
      </c>
      <c r="AJ13" s="24">
        <f t="shared" si="7"/>
        <v>1128</v>
      </c>
      <c r="AK13" s="30">
        <v>570.0</v>
      </c>
      <c r="AL13" s="30">
        <v>558.0</v>
      </c>
      <c r="AM13" s="24">
        <f t="shared" si="8"/>
        <v>1128</v>
      </c>
      <c r="AN13" s="30">
        <v>1125.0</v>
      </c>
      <c r="AO13" s="31">
        <v>3.0</v>
      </c>
      <c r="AP13" s="24">
        <f t="shared" si="9"/>
        <v>1128</v>
      </c>
      <c r="AQ13" s="30">
        <v>949.0</v>
      </c>
      <c r="AR13" s="30">
        <v>161.0</v>
      </c>
      <c r="AS13" s="30">
        <v>0.0</v>
      </c>
      <c r="AT13" s="30">
        <v>7.0</v>
      </c>
      <c r="AU13" s="31">
        <v>11.0</v>
      </c>
      <c r="AV13" s="24">
        <f t="shared" si="15"/>
        <v>1128</v>
      </c>
      <c r="AW13" s="29">
        <f t="shared" si="10"/>
        <v>11</v>
      </c>
      <c r="AX13" s="30">
        <v>1110.0</v>
      </c>
      <c r="AY13" s="31">
        <v>7.0</v>
      </c>
      <c r="AZ13" s="24">
        <f t="shared" si="11"/>
        <v>1128</v>
      </c>
      <c r="BA13" s="30">
        <v>376.0</v>
      </c>
      <c r="BB13" s="30">
        <v>10.0</v>
      </c>
      <c r="BC13" s="30">
        <v>0.0</v>
      </c>
      <c r="BD13" s="30">
        <v>0.0</v>
      </c>
      <c r="BE13" s="30">
        <v>12.0</v>
      </c>
      <c r="BF13" s="30">
        <v>88.0</v>
      </c>
      <c r="BG13" s="30">
        <v>144.0</v>
      </c>
      <c r="BH13" s="31">
        <v>122.0</v>
      </c>
      <c r="BI13" s="24">
        <f t="shared" si="12"/>
        <v>752</v>
      </c>
      <c r="BJ13" s="36">
        <v>19.0</v>
      </c>
      <c r="BK13" s="36">
        <v>23.0</v>
      </c>
      <c r="BL13" s="36">
        <v>26.0</v>
      </c>
      <c r="BM13" s="36">
        <v>0.0</v>
      </c>
      <c r="BN13" s="36">
        <v>281.0</v>
      </c>
      <c r="BO13" s="36">
        <v>0.0</v>
      </c>
      <c r="BP13" s="37">
        <v>403.0</v>
      </c>
      <c r="BQ13" s="38">
        <f t="shared" si="13"/>
        <v>752</v>
      </c>
      <c r="BR13" s="39">
        <v>57.0</v>
      </c>
      <c r="BS13" s="36">
        <v>13.0</v>
      </c>
      <c r="BT13" s="37">
        <v>1058.0</v>
      </c>
      <c r="BU13" s="38">
        <f t="shared" si="14"/>
        <v>1128</v>
      </c>
    </row>
    <row r="14" ht="21.0" customHeight="1">
      <c r="A14" s="24" t="s">
        <v>47</v>
      </c>
      <c r="B14" s="40">
        <f t="shared" ref="B14:L14" si="17">SUM(B2:B13)</f>
        <v>9147</v>
      </c>
      <c r="C14" s="41">
        <f t="shared" si="17"/>
        <v>795</v>
      </c>
      <c r="D14" s="41">
        <f t="shared" si="17"/>
        <v>257</v>
      </c>
      <c r="E14" s="42">
        <f t="shared" si="17"/>
        <v>10199</v>
      </c>
      <c r="F14" s="41">
        <f t="shared" si="17"/>
        <v>1433</v>
      </c>
      <c r="G14" s="41">
        <f t="shared" si="17"/>
        <v>1608</v>
      </c>
      <c r="H14" s="41">
        <f t="shared" si="17"/>
        <v>1545</v>
      </c>
      <c r="I14" s="41">
        <f t="shared" si="17"/>
        <v>1498</v>
      </c>
      <c r="J14" s="41">
        <f t="shared" si="17"/>
        <v>1442</v>
      </c>
      <c r="K14" s="41">
        <f t="shared" si="17"/>
        <v>1389</v>
      </c>
      <c r="L14" s="41">
        <f t="shared" si="17"/>
        <v>1284</v>
      </c>
      <c r="M14" s="24">
        <f t="shared" si="16"/>
        <v>10199</v>
      </c>
      <c r="N14" s="41">
        <f t="shared" ref="N14:BU14" si="18">SUM(N2:N13)</f>
        <v>5873</v>
      </c>
      <c r="O14" s="41">
        <f t="shared" si="18"/>
        <v>4326</v>
      </c>
      <c r="P14" s="24">
        <f t="shared" si="18"/>
        <v>10199</v>
      </c>
      <c r="Q14" s="41">
        <f t="shared" si="18"/>
        <v>6189</v>
      </c>
      <c r="R14" s="43">
        <f t="shared" si="18"/>
        <v>4010</v>
      </c>
      <c r="S14" s="24">
        <f t="shared" si="18"/>
        <v>10199</v>
      </c>
      <c r="T14" s="41">
        <f t="shared" si="18"/>
        <v>3615</v>
      </c>
      <c r="U14" s="41">
        <f t="shared" si="18"/>
        <v>2919</v>
      </c>
      <c r="V14" s="41">
        <f t="shared" si="18"/>
        <v>28</v>
      </c>
      <c r="W14" s="41">
        <f t="shared" si="18"/>
        <v>33</v>
      </c>
      <c r="X14" s="41">
        <f t="shared" si="18"/>
        <v>2253</v>
      </c>
      <c r="Y14" s="41">
        <f t="shared" si="18"/>
        <v>22</v>
      </c>
      <c r="Z14" s="41">
        <f t="shared" si="18"/>
        <v>1419</v>
      </c>
      <c r="AA14" s="24">
        <f t="shared" si="18"/>
        <v>10289</v>
      </c>
      <c r="AB14" s="24">
        <f t="shared" si="18"/>
        <v>597</v>
      </c>
      <c r="AC14" s="41">
        <f t="shared" si="18"/>
        <v>5451</v>
      </c>
      <c r="AD14" s="41">
        <f t="shared" si="18"/>
        <v>4439</v>
      </c>
      <c r="AE14" s="41">
        <f t="shared" si="18"/>
        <v>2829</v>
      </c>
      <c r="AF14" s="41">
        <f t="shared" si="18"/>
        <v>1977</v>
      </c>
      <c r="AG14" s="24">
        <f t="shared" si="18"/>
        <v>15293</v>
      </c>
      <c r="AH14" s="41">
        <f t="shared" si="18"/>
        <v>11213</v>
      </c>
      <c r="AI14" s="41">
        <f t="shared" si="18"/>
        <v>4080</v>
      </c>
      <c r="AJ14" s="24">
        <f t="shared" si="18"/>
        <v>15293</v>
      </c>
      <c r="AK14" s="41">
        <f t="shared" si="18"/>
        <v>8677</v>
      </c>
      <c r="AL14" s="41">
        <f t="shared" si="18"/>
        <v>6616</v>
      </c>
      <c r="AM14" s="24">
        <f t="shared" si="18"/>
        <v>15293</v>
      </c>
      <c r="AN14" s="41">
        <f t="shared" si="18"/>
        <v>15230</v>
      </c>
      <c r="AO14" s="43">
        <f t="shared" si="18"/>
        <v>63</v>
      </c>
      <c r="AP14" s="24">
        <f t="shared" si="18"/>
        <v>15293</v>
      </c>
      <c r="AQ14" s="41">
        <f t="shared" si="18"/>
        <v>12572</v>
      </c>
      <c r="AR14" s="41">
        <f t="shared" si="18"/>
        <v>2025</v>
      </c>
      <c r="AS14" s="41">
        <f t="shared" si="18"/>
        <v>24</v>
      </c>
      <c r="AT14" s="41">
        <f t="shared" si="18"/>
        <v>56</v>
      </c>
      <c r="AU14" s="43">
        <f t="shared" si="18"/>
        <v>616</v>
      </c>
      <c r="AV14" s="24">
        <f t="shared" si="18"/>
        <v>15293</v>
      </c>
      <c r="AW14" s="40">
        <f t="shared" si="18"/>
        <v>616</v>
      </c>
      <c r="AX14" s="41">
        <f t="shared" si="18"/>
        <v>14583</v>
      </c>
      <c r="AY14" s="43">
        <f t="shared" si="18"/>
        <v>94</v>
      </c>
      <c r="AZ14" s="24">
        <f t="shared" si="18"/>
        <v>15293</v>
      </c>
      <c r="BA14" s="44">
        <f t="shared" si="18"/>
        <v>5100</v>
      </c>
      <c r="BB14" s="44">
        <f t="shared" si="18"/>
        <v>258</v>
      </c>
      <c r="BC14" s="44">
        <f t="shared" si="18"/>
        <v>20</v>
      </c>
      <c r="BD14" s="44">
        <f t="shared" si="18"/>
        <v>3</v>
      </c>
      <c r="BE14" s="44">
        <f t="shared" si="18"/>
        <v>145</v>
      </c>
      <c r="BF14" s="44">
        <f t="shared" si="18"/>
        <v>1261</v>
      </c>
      <c r="BG14" s="44">
        <f t="shared" si="18"/>
        <v>1588</v>
      </c>
      <c r="BH14" s="44">
        <f t="shared" si="18"/>
        <v>1824</v>
      </c>
      <c r="BI14" s="24">
        <f t="shared" si="18"/>
        <v>10199</v>
      </c>
      <c r="BJ14" s="24">
        <f t="shared" si="18"/>
        <v>344</v>
      </c>
      <c r="BK14" s="24">
        <f t="shared" si="18"/>
        <v>310</v>
      </c>
      <c r="BL14" s="24">
        <f t="shared" si="18"/>
        <v>356</v>
      </c>
      <c r="BM14" s="24">
        <f t="shared" si="18"/>
        <v>4</v>
      </c>
      <c r="BN14" s="24">
        <f t="shared" si="18"/>
        <v>3713</v>
      </c>
      <c r="BO14" s="24">
        <f t="shared" si="18"/>
        <v>0</v>
      </c>
      <c r="BP14" s="24">
        <f t="shared" si="18"/>
        <v>5472</v>
      </c>
      <c r="BQ14" s="24">
        <f t="shared" si="18"/>
        <v>10199</v>
      </c>
      <c r="BR14" s="42">
        <f t="shared" si="18"/>
        <v>932</v>
      </c>
      <c r="BS14" s="24">
        <f t="shared" si="18"/>
        <v>299</v>
      </c>
      <c r="BT14" s="24">
        <f t="shared" si="18"/>
        <v>14062</v>
      </c>
      <c r="BU14" s="24">
        <f t="shared" si="18"/>
        <v>15293</v>
      </c>
    </row>
    <row r="15" ht="12.75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2001-09-30T07:16:54Z</dcterms:created>
  <dc:creator>*</dc:creator>
</cp:coreProperties>
</file>